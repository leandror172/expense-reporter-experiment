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stas de itens" sheetId="7" r:id="rId10"/>
    <sheet name="Receitas" sheetId="2" r:id="rId4"/>
    <sheet name="Fixas" sheetId="3" r:id="rId6"/>
    <sheet name="Variáveis" sheetId="4" r:id="rId7"/>
    <sheet name="Extras" sheetId="5" r:id="rId8"/>
    <sheet name="Adicionais" sheetId="6" r:id="rId9"/>
  </sheets>
  <calcPr fullCalcOnLoad="true"/>
</workbook>
</file>

<file path=xl/sharedStrings.xml><?xml version="1.0" encoding="utf-8"?>
<sst xmlns="http://schemas.openxmlformats.org/spreadsheetml/2006/main" count="91" uniqueCount="91">
  <si>
    <t>Mês</t>
  </si>
  <si>
    <t>Janeiro</t>
  </si>
  <si>
    <t>Item</t>
  </si>
  <si>
    <t>Data</t>
  </si>
  <si>
    <t>Valor</t>
  </si>
  <si>
    <t>Fevereiro</t>
  </si>
  <si>
    <t>Março</t>
  </si>
  <si>
    <t>Abril</t>
  </si>
  <si>
    <t>Maio</t>
  </si>
  <si>
    <t>Junho</t>
  </si>
  <si>
    <t>Julho</t>
  </si>
  <si>
    <t>Agosto</t>
  </si>
  <si>
    <t>Setembro</t>
  </si>
  <si>
    <t>Outubro</t>
  </si>
  <si>
    <t>Novembro</t>
  </si>
  <si>
    <t>Dezembro</t>
  </si>
  <si>
    <t>Salário</t>
  </si>
  <si>
    <t>Total</t>
  </si>
  <si>
    <t>–</t>
  </si>
  <si>
    <t>13° parcela</t>
  </si>
  <si>
    <t>13°</t>
  </si>
  <si>
    <t>Receita</t>
  </si>
  <si>
    <t>Diarista</t>
  </si>
  <si>
    <t>Aluguel</t>
  </si>
  <si>
    <t>Condomínio</t>
  </si>
  <si>
    <t>Habitação</t>
  </si>
  <si>
    <t>Netflix</t>
  </si>
  <si>
    <t>Spotify</t>
  </si>
  <si>
    <t>Lazer</t>
  </si>
  <si>
    <t>Mercado</t>
  </si>
  <si>
    <t>Supermercado</t>
  </si>
  <si>
    <t>Padaria</t>
  </si>
  <si>
    <t>Alimentação / Limpeza</t>
  </si>
  <si>
    <t>Consulta</t>
  </si>
  <si>
    <t>Orion - Consultas</t>
  </si>
  <si>
    <t>Ração</t>
  </si>
  <si>
    <t>Orion - Ração</t>
  </si>
  <si>
    <t>Pets</t>
  </si>
  <si>
    <t>Bilhete</t>
  </si>
  <si>
    <t>Metrô</t>
  </si>
  <si>
    <t>Transporte</t>
  </si>
  <si>
    <t>Médico</t>
  </si>
  <si>
    <t>Limpeza</t>
  </si>
  <si>
    <t>Dentista</t>
  </si>
  <si>
    <t>Saúde</t>
  </si>
  <si>
    <t>Revisão</t>
  </si>
  <si>
    <t>Pneu</t>
  </si>
  <si>
    <t>Carro</t>
  </si>
  <si>
    <t>Pintura</t>
  </si>
  <si>
    <t>Casa</t>
  </si>
  <si>
    <t>Manutenção / prevenção</t>
  </si>
  <si>
    <t>Hotel</t>
  </si>
  <si>
    <t>Passagem</t>
  </si>
  <si>
    <t>Viagens</t>
  </si>
  <si>
    <t>Steam</t>
  </si>
  <si>
    <t>Jogos</t>
  </si>
  <si>
    <t>Presente</t>
  </si>
  <si>
    <t>Presentes</t>
  </si>
  <si>
    <t>Caderno</t>
  </si>
  <si>
    <t>Caneta</t>
  </si>
  <si>
    <t>Papelaria</t>
  </si>
  <si>
    <t>Outros</t>
  </si>
  <si>
    <t>Investimentos</t>
  </si>
  <si>
    <t>% sobre receita</t>
  </si>
  <si>
    <t>Receitas</t>
  </si>
  <si>
    <t>Total Habitação</t>
  </si>
  <si>
    <t>% sobre despesas</t>
  </si>
  <si>
    <t>Total Lazer</t>
  </si>
  <si>
    <t>Total despesas fixas</t>
  </si>
  <si>
    <t>Fixas</t>
  </si>
  <si>
    <t>Total Alimentação / Limpeza</t>
  </si>
  <si>
    <t>Total Pets</t>
  </si>
  <si>
    <t>Total Transporte</t>
  </si>
  <si>
    <t>Total despesas variáveis</t>
  </si>
  <si>
    <t>Variáveis</t>
  </si>
  <si>
    <t>Total Saúde</t>
  </si>
  <si>
    <t>Total Manutenção / prevenção</t>
  </si>
  <si>
    <t>Total despesas extras</t>
  </si>
  <si>
    <t>Extras</t>
  </si>
  <si>
    <t>Total Outros</t>
  </si>
  <si>
    <t>Total despesas adicionais</t>
  </si>
  <si>
    <t>Adicionais</t>
  </si>
  <si>
    <t>Total renda</t>
  </si>
  <si>
    <t>Despesas fixas</t>
  </si>
  <si>
    <t>Despesas variáveis</t>
  </si>
  <si>
    <t>Despesas extras</t>
  </si>
  <si>
    <t>Despesas adicionais</t>
  </si>
  <si>
    <t>Total despesas</t>
  </si>
  <si>
    <t>Porcentagem da despesa</t>
  </si>
  <si>
    <t>Porcentagem da renda</t>
  </si>
  <si>
    <t>Saldo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</si>
</sst>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R$ #,##0.00"/>
    <numFmt numFmtId="165" formatCode="DD/MM"/>
    <numFmt numFmtId="166" formatCode="0.00%"/>
  </numFmts>
  <fonts count="8">
    <font>
      <name val="Calibri"/>
      <family val="2"/>
      <color theme="1"/>
      <sz val="11"/>
    </font>
    <font>
      <name val="Open Sans"/>
      <family val="2"/>
      <b val="1"/>
      <color/>
      <sz val="14"/>
    </font>
    <font>
      <name val="Open Sans"/>
      <family val="2"/>
      <color/>
      <sz val="14"/>
    </font>
    <font>
      <name val="Arial"/>
      <family val="2"/>
      <b val="1"/>
      <color/>
      <sz val="14"/>
    </font>
    <font>
      <name val="Arial"/>
      <family val="2"/>
      <color/>
      <sz val="10"/>
    </font>
    <font>
      <name val="Arial"/>
      <family val="2"/>
      <b val="1"/>
      <color rgb="FFFFFFFF"/>
      <sz val="18"/>
    </font>
    <font>
      <name val="Arial"/>
      <family val="2"/>
      <b val="1"/>
      <color rgb="FFFFFFFF"/>
      <sz val="10"/>
    </font>
    <font>
      <name val="Arial"/>
      <family val="2"/>
      <b val="1"/>
      <color/>
      <sz val="10"/>
    </font>
  </fonts>
  <fills count="9">
    <fill>
      <patternFill patternType="none"/>
    </fill>
    <fill>
      <patternFill patternType="gray125"/>
    </fill>
    <fill>
      <patternFill patternType="solid">
        <fgColor rgb="FFC0C0C0"/>
      </patternFill>
    </fill>
    <fill>
      <patternFill patternType="solid">
        <fgColor rgb="FFD8D8D8"/>
      </patternFill>
    </fill>
    <fill>
      <patternFill patternType="solid">
        <fgColor rgb="FFF2F2F2"/>
      </patternFill>
    </fill>
    <fill>
      <patternFill patternType="solid">
        <fgColor rgb="FF000000"/>
      </patternFill>
    </fill>
    <fill>
      <patternFill patternType="solid">
        <fgColor rgb="FF333399"/>
      </patternFill>
    </fill>
    <fill>
      <patternFill patternType="solid">
        <fgColor rgb="FFCCCCFF"/>
      </patternFill>
    </fill>
    <fill>
      <patternFill patternType="solid">
        <fgColor rgb="FF333333"/>
      </patternFill>
    </fill>
  </fills>
  <borders count="7">
    <border>
      <left/>
      <right/>
      <top/>
      <bottom/>
      <diagonal/>
    </border>
    <border>
      <left style="thin">
        <color rgb="FF000000"/>
      </left>
      <top style="thin">
        <color rgb="FF000000"/>
      </top>
    </border>
    <border>
      <left style="thin">
        <color rgb="FF000000"/>
      </left>
      <right style="thin">
        <color rgb="FF000000"/>
      </right>
      <top style="thin">
        <color rgb="FF000000"/>
      </top>
      <bottom style="thin">
        <color rgb="FF000000"/>
      </bottom>
    </border>
    <border>
      <top style="thin">
        <color rgb="FF000000"/>
      </top>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numFmtId="0" fontId="0" fillId="0" borderId="0"/>
  </cellStyleXfs>
  <cellXfs count="29">
    <xf numFmtId="0" fontId="0" fillId="0" borderId="0" xfId="0"/>
    <xf numFmtId="0" fontId="1" fillId="2" borderId="1" xfId="0" applyFont="true" applyFill="true" applyBorder="true" applyAlignment="true">
      <alignment horizontal="center" vertical="center"/>
    </xf>
    <xf numFmtId="0" fontId="1" fillId="2" borderId="1" xfId="0" applyFont="true" applyFill="true" applyBorder="true" applyAlignment="true">
      <alignment horizontal="center"/>
    </xf>
    <xf numFmtId="0" fontId="2" fillId="3" borderId="2" xfId="0" applyFont="true" applyFill="true" applyBorder="true" applyAlignment="false">
      <alignment/>
    </xf>
    <xf numFmtId="0" fontId="3" fillId="0" borderId="0" xfId="0" applyFont="true" applyAlignment="true">
      <alignment horizontal="center" vertical="center" wrapText="true"/>
    </xf>
    <xf numFmtId="0" fontId="4" fillId="0" borderId="0" xfId="0" applyFont="true" applyAlignment="true">
      <alignment horizontal="center" vertical="center" wrapText="true"/>
    </xf>
    <xf numFmtId="0" fontId="4" fillId="0" borderId="0" xfId="0" applyFont="true" applyAlignment="false">
      <alignment/>
    </xf>
    <xf numFmtId="0" fontId="4" fillId="0" borderId="3" xfId="0" applyFont="true" applyBorder="true" applyAlignment="false">
      <alignment/>
    </xf>
    <xf numFmtId="0" fontId="4" fillId="4" borderId="4" xfId="0" applyFont="true" applyFill="true" applyBorder="true" applyAlignment="false">
      <alignment/>
    </xf>
    <xf numFmtId="0" fontId="4" fillId="4" borderId="5" xfId="0" applyFont="true" applyFill="true" applyBorder="true" applyAlignment="false">
      <alignment/>
    </xf>
    <xf numFmtId="164" fontId="4" fillId="4" borderId="4" xfId="0" applyNumberFormat="true" applyFont="true" applyFill="true" applyBorder="true" applyAlignment="false">
      <alignment/>
    </xf>
    <xf numFmtId="164" fontId="4" fillId="4" borderId="6" xfId="0" applyNumberFormat="true" applyFont="true" applyFill="true" applyBorder="true" applyAlignment="false">
      <alignment/>
    </xf>
    <xf numFmtId="0" fontId="0" fillId="5" borderId="0" xfId="0" applyFill="true" applyAlignment="false">
      <alignment/>
    </xf>
    <xf numFmtId="164" fontId="4" fillId="0" borderId="0" xfId="0" applyNumberFormat="true" applyFont="true" applyAlignment="false">
      <alignment/>
    </xf>
    <xf numFmtId="165" fontId="4" fillId="0" borderId="0" xfId="0" applyNumberFormat="true" applyFont="true" applyAlignment="false">
      <alignment/>
    </xf>
    <xf numFmtId="0" fontId="5" fillId="6" borderId="0" xfId="0" applyFont="true" applyFill="true" applyAlignment="true">
      <alignment horizontal="center" vertical="center" wrapText="true"/>
    </xf>
    <xf numFmtId="0" fontId="6" fillId="6" borderId="0" xfId="0" applyFont="true" applyFill="true" applyAlignment="false">
      <alignment/>
    </xf>
    <xf numFmtId="0" fontId="6" fillId="6" borderId="0" xfId="0" applyFont="true" applyFill="true" applyAlignment="true">
      <alignment horizontal="center" vertical="center" wrapText="true"/>
    </xf>
    <xf numFmtId="164" fontId="6" fillId="6" borderId="0" xfId="0" applyNumberFormat="true" applyFont="true" applyFill="true" applyAlignment="false">
      <alignment/>
    </xf>
    <xf numFmtId="0" fontId="4" fillId="7" borderId="0" xfId="0" applyFont="true" applyFill="true" applyAlignment="false">
      <alignment/>
    </xf>
    <xf numFmtId="164" fontId="4" fillId="7" borderId="0" xfId="0" applyNumberFormat="true" applyFont="true" applyFill="true" applyAlignment="false">
      <alignment/>
    </xf>
    <xf numFmtId="166" fontId="4" fillId="7" borderId="0" xfId="0" applyNumberFormat="true" applyFont="true" applyFill="true" applyAlignment="false">
      <alignment/>
    </xf>
    <xf numFmtId="0" fontId="7" fillId="2" borderId="0" xfId="0" applyFont="true" applyFill="true" applyAlignment="false">
      <alignment/>
    </xf>
    <xf numFmtId="164" fontId="7" fillId="2" borderId="0" xfId="0" applyNumberFormat="true" applyFont="true" applyFill="true" applyAlignment="false">
      <alignment/>
    </xf>
    <xf numFmtId="166" fontId="7" fillId="2" borderId="0" xfId="0" applyNumberFormat="true" applyFont="true" applyFill="true" applyAlignment="false">
      <alignment/>
    </xf>
    <xf numFmtId="0" fontId="6" fillId="8" borderId="0" xfId="0" applyFont="true" applyFill="true" applyAlignment="false">
      <alignment/>
    </xf>
    <xf numFmtId="164" fontId="6" fillId="8" borderId="0" xfId="0" applyNumberFormat="true" applyFont="true" applyFill="true" applyAlignment="false">
      <alignment/>
    </xf>
    <xf numFmtId="166" fontId="6" fillId="8" borderId="0" xfId="0" applyNumberFormat="true" applyFont="true" applyFill="true" applyAlignment="false">
      <alignment/>
    </xf>
    <xf numFmtId="0" fontId="2"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pane activePane="bottomRight" state="frozen" topLeftCell="C3" xSplit="2" ySplit="2"/>
    </sheetView>
  </sheetViews>
  <cols>
    <col customWidth="true" max="1" min="1" width="12.29"/>
    <col customWidth="true" max="2" min="2" width="13.86"/>
    <col customWidth="true" max="38" min="3" width="12.57"/>
  </cols>
  <sheetData>
    <row r="1" ht="18" customHeight="true">
      <c r="A1" s="1" t="s">
        <v>0</v>
      </c>
      <c r="C1" s="2" t="s">
        <v>1</v>
      </c>
      <c r="F1" s="2" t="s">
        <v>5</v>
      </c>
      <c r="I1" s="2" t="s">
        <v>6</v>
      </c>
      <c r="L1" s="2" t="s">
        <v>7</v>
      </c>
      <c r="O1" s="2" t="s">
        <v>8</v>
      </c>
      <c r="R1" s="2" t="s">
        <v>9</v>
      </c>
      <c r="U1" s="2" t="s">
        <v>10</v>
      </c>
      <c r="X1" s="2" t="s">
        <v>11</v>
      </c>
      <c r="AA1" s="2" t="s">
        <v>12</v>
      </c>
      <c r="AD1" s="2" t="s">
        <v>13</v>
      </c>
      <c r="AG1" s="2" t="s">
        <v>14</v>
      </c>
      <c r="AJ1" s="2" t="s">
        <v>15</v>
      </c>
    </row>
    <row r="2" ht="15" customHeight="true">
      <c r="C2" s="3" t="s">
        <v>2</v>
      </c>
      <c r="D2" s="3" t="s">
        <v>3</v>
      </c>
      <c r="E2" s="3" t="s">
        <v>4</v>
      </c>
      <c r="F2" s="3" t="s">
        <v>2</v>
      </c>
      <c r="G2" s="3" t="s">
        <v>3</v>
      </c>
      <c r="H2" s="3" t="s">
        <v>4</v>
      </c>
      <c r="I2" s="3" t="s">
        <v>2</v>
      </c>
      <c r="J2" s="3" t="s">
        <v>3</v>
      </c>
      <c r="K2" s="3" t="s">
        <v>4</v>
      </c>
      <c r="L2" s="3" t="s">
        <v>2</v>
      </c>
      <c r="M2" s="3" t="s">
        <v>3</v>
      </c>
      <c r="N2" s="3" t="s">
        <v>4</v>
      </c>
      <c r="O2" s="3" t="s">
        <v>2</v>
      </c>
      <c r="P2" s="3" t="s">
        <v>3</v>
      </c>
      <c r="Q2" s="3" t="s">
        <v>4</v>
      </c>
      <c r="R2" s="3" t="s">
        <v>2</v>
      </c>
      <c r="S2" s="3" t="s">
        <v>3</v>
      </c>
      <c r="T2" s="3" t="s">
        <v>4</v>
      </c>
      <c r="U2" s="3" t="s">
        <v>2</v>
      </c>
      <c r="V2" s="3" t="s">
        <v>3</v>
      </c>
      <c r="W2" s="3" t="s">
        <v>4</v>
      </c>
      <c r="X2" s="3" t="s">
        <v>2</v>
      </c>
      <c r="Y2" s="3" t="s">
        <v>3</v>
      </c>
      <c r="Z2" s="3" t="s">
        <v>4</v>
      </c>
      <c r="AA2" s="3" t="s">
        <v>2</v>
      </c>
      <c r="AB2" s="3" t="s">
        <v>3</v>
      </c>
      <c r="AC2" s="3" t="s">
        <v>4</v>
      </c>
      <c r="AD2" s="3" t="s">
        <v>2</v>
      </c>
      <c r="AE2" s="3" t="s">
        <v>3</v>
      </c>
      <c r="AF2" s="3" t="s">
        <v>4</v>
      </c>
      <c r="AG2" s="3" t="s">
        <v>2</v>
      </c>
      <c r="AH2" s="3" t="s">
        <v>3</v>
      </c>
      <c r="AI2" s="3" t="s">
        <v>4</v>
      </c>
      <c r="AJ2" s="3" t="s">
        <v>2</v>
      </c>
      <c r="AK2" s="3" t="s">
        <v>3</v>
      </c>
      <c r="AL2" s="3" t="s">
        <v>4</v>
      </c>
    </row>
    <row r="3" ht="15" customHeight="true">
      <c r="A3" s="4" t="s">
        <v>21</v>
      </c>
      <c r="B3" s="5" t="s">
        <v>16</v>
      </c>
      <c r="C3" s="7" t="s">
        <v>16</v>
      </c>
      <c r="D3" s="14">
        <v>46027</v>
      </c>
      <c r="E3" s="13">
        <v>5000</v>
      </c>
      <c r="F3" s="7" t="s">
        <v>16</v>
      </c>
      <c r="G3" s="14">
        <v>46058</v>
      </c>
      <c r="H3" s="13">
        <v>5000</v>
      </c>
      <c r="I3" s="7"/>
      <c r="J3" s="14"/>
      <c r="K3" s="13"/>
      <c r="L3" s="7"/>
      <c r="M3" s="14"/>
      <c r="N3" s="13"/>
      <c r="O3" s="7"/>
      <c r="P3" s="14"/>
      <c r="Q3" s="13"/>
      <c r="R3" s="7"/>
      <c r="S3" s="14"/>
      <c r="T3" s="13"/>
      <c r="U3" s="7"/>
      <c r="V3" s="14"/>
      <c r="W3" s="13"/>
      <c r="X3" s="7"/>
      <c r="Y3" s="14"/>
      <c r="Z3" s="13"/>
      <c r="AA3" s="7"/>
      <c r="AB3" s="14"/>
      <c r="AC3" s="13"/>
      <c r="AD3" s="7"/>
      <c r="AE3" s="14"/>
      <c r="AF3" s="13"/>
      <c r="AG3" s="7"/>
      <c r="AH3" s="14"/>
      <c r="AI3" s="13"/>
      <c r="AJ3" s="7"/>
      <c r="AK3" s="14"/>
      <c r="AL3" s="13"/>
    </row>
    <row r="4" ht="15.75" customHeight="true">
      <c r="A4" s="4"/>
      <c r="B4" s="5"/>
      <c r="C4" s="8" t="s">
        <v>17</v>
      </c>
      <c r="D4" s="8" t="s">
        <v>18</v>
      </c>
      <c r="E4" s="10" t="str">
        <f>SUM(E3:E3)</f>
      </c>
      <c r="F4" s="8" t="s">
        <v>17</v>
      </c>
      <c r="G4" s="8" t="s">
        <v>18</v>
      </c>
      <c r="H4" s="10" t="str">
        <f>SUM(H3:H3)</f>
      </c>
      <c r="I4" s="8" t="s">
        <v>17</v>
      </c>
      <c r="J4" s="8" t="s">
        <v>18</v>
      </c>
      <c r="K4" s="10" t="str">
        <f>SUM(K3:K3)</f>
      </c>
      <c r="L4" s="8" t="s">
        <v>17</v>
      </c>
      <c r="M4" s="8" t="s">
        <v>18</v>
      </c>
      <c r="N4" s="10" t="str">
        <f>SUM(N3:N3)</f>
      </c>
      <c r="O4" s="8" t="s">
        <v>17</v>
      </c>
      <c r="P4" s="8" t="s">
        <v>18</v>
      </c>
      <c r="Q4" s="10" t="str">
        <f>SUM(Q3:Q3)</f>
      </c>
      <c r="R4" s="8" t="s">
        <v>17</v>
      </c>
      <c r="S4" s="8" t="s">
        <v>18</v>
      </c>
      <c r="T4" s="10" t="str">
        <f>SUM(T3:T3)</f>
      </c>
      <c r="U4" s="8" t="s">
        <v>17</v>
      </c>
      <c r="V4" s="8" t="s">
        <v>18</v>
      </c>
      <c r="W4" s="10" t="str">
        <f>SUM(W3:W3)</f>
      </c>
      <c r="X4" s="8" t="s">
        <v>17</v>
      </c>
      <c r="Y4" s="8" t="s">
        <v>18</v>
      </c>
      <c r="Z4" s="10" t="str">
        <f>SUM(Z3:Z3)</f>
      </c>
      <c r="AA4" s="8" t="s">
        <v>17</v>
      </c>
      <c r="AB4" s="8" t="s">
        <v>18</v>
      </c>
      <c r="AC4" s="10" t="str">
        <f>SUM(AC3:AC3)</f>
      </c>
      <c r="AD4" s="8" t="s">
        <v>17</v>
      </c>
      <c r="AE4" s="8" t="s">
        <v>18</v>
      </c>
      <c r="AF4" s="10" t="str">
        <f>SUM(AF3:AF3)</f>
      </c>
      <c r="AG4" s="8" t="s">
        <v>17</v>
      </c>
      <c r="AH4" s="8" t="s">
        <v>18</v>
      </c>
      <c r="AI4" s="10" t="str">
        <f>SUM(AI3:AI3)</f>
      </c>
      <c r="AJ4" s="8" t="s">
        <v>17</v>
      </c>
      <c r="AK4" s="8" t="s">
        <v>18</v>
      </c>
      <c r="AL4" s="10" t="str">
        <f>SUM(AL3:AL3)</f>
      </c>
    </row>
    <row r="5" ht="15" customHeight="true">
      <c r="A5" s="4"/>
      <c r="B5" s="5" t="s">
        <v>20</v>
      </c>
      <c r="C5" s="7" t="s">
        <v>19</v>
      </c>
      <c r="D5" s="14">
        <v>46042</v>
      </c>
      <c r="E5" s="13">
        <v>2500</v>
      </c>
      <c r="F5" s="7" t="s">
        <v>19</v>
      </c>
      <c r="G5" s="14">
        <v>46073</v>
      </c>
      <c r="H5" s="13">
        <v>2500</v>
      </c>
      <c r="I5" s="7"/>
      <c r="J5" s="14"/>
      <c r="K5" s="13"/>
      <c r="L5" s="7"/>
      <c r="M5" s="14"/>
      <c r="N5" s="13"/>
      <c r="O5" s="7"/>
      <c r="P5" s="14"/>
      <c r="Q5" s="13"/>
      <c r="R5" s="7"/>
      <c r="S5" s="14"/>
      <c r="T5" s="13"/>
      <c r="U5" s="7"/>
      <c r="V5" s="14"/>
      <c r="W5" s="13"/>
      <c r="X5" s="7"/>
      <c r="Y5" s="14"/>
      <c r="Z5" s="13"/>
      <c r="AA5" s="7"/>
      <c r="AB5" s="14"/>
      <c r="AC5" s="13"/>
      <c r="AD5" s="7"/>
      <c r="AE5" s="14"/>
      <c r="AF5" s="13"/>
      <c r="AG5" s="7"/>
      <c r="AH5" s="14"/>
      <c r="AI5" s="13"/>
      <c r="AJ5" s="7"/>
      <c r="AK5" s="14"/>
      <c r="AL5" s="13"/>
    </row>
    <row r="6" ht="15.75" customHeight="true">
      <c r="A6" s="4"/>
      <c r="B6" s="5"/>
      <c r="C6" s="8" t="s">
        <v>17</v>
      </c>
      <c r="D6" s="8" t="s">
        <v>18</v>
      </c>
      <c r="E6" s="10" t="str">
        <f>SUM(E5:E5)</f>
      </c>
      <c r="F6" s="8" t="s">
        <v>17</v>
      </c>
      <c r="G6" s="8" t="s">
        <v>18</v>
      </c>
      <c r="H6" s="10" t="str">
        <f>SUM(H5:H5)</f>
      </c>
      <c r="I6" s="8" t="s">
        <v>17</v>
      </c>
      <c r="J6" s="8" t="s">
        <v>18</v>
      </c>
      <c r="K6" s="10" t="str">
        <f>SUM(K5:K5)</f>
      </c>
      <c r="L6" s="8" t="s">
        <v>17</v>
      </c>
      <c r="M6" s="8" t="s">
        <v>18</v>
      </c>
      <c r="N6" s="10" t="str">
        <f>SUM(N5:N5)</f>
      </c>
      <c r="O6" s="8" t="s">
        <v>17</v>
      </c>
      <c r="P6" s="8" t="s">
        <v>18</v>
      </c>
      <c r="Q6" s="10" t="str">
        <f>SUM(Q5:Q5)</f>
      </c>
      <c r="R6" s="8" t="s">
        <v>17</v>
      </c>
      <c r="S6" s="8" t="s">
        <v>18</v>
      </c>
      <c r="T6" s="10" t="str">
        <f>SUM(T5:T5)</f>
      </c>
      <c r="U6" s="8" t="s">
        <v>17</v>
      </c>
      <c r="V6" s="8" t="s">
        <v>18</v>
      </c>
      <c r="W6" s="10" t="str">
        <f>SUM(W5:W5)</f>
      </c>
      <c r="X6" s="8" t="s">
        <v>17</v>
      </c>
      <c r="Y6" s="8" t="s">
        <v>18</v>
      </c>
      <c r="Z6" s="10" t="str">
        <f>SUM(Z5:Z5)</f>
      </c>
      <c r="AA6" s="8" t="s">
        <v>17</v>
      </c>
      <c r="AB6" s="8" t="s">
        <v>18</v>
      </c>
      <c r="AC6" s="10" t="str">
        <f>SUM(AC5:AC5)</f>
      </c>
      <c r="AD6" s="8" t="s">
        <v>17</v>
      </c>
      <c r="AE6" s="8" t="s">
        <v>18</v>
      </c>
      <c r="AF6" s="10" t="str">
        <f>SUM(AF5:AF5)</f>
      </c>
      <c r="AG6" s="8" t="s">
        <v>17</v>
      </c>
      <c r="AH6" s="8" t="s">
        <v>18</v>
      </c>
      <c r="AI6" s="10" t="str">
        <f>SUM(AI5:AI5)</f>
      </c>
      <c r="AJ6" s="8" t="s">
        <v>17</v>
      </c>
      <c r="AK6" s="8" t="s">
        <v>18</v>
      </c>
      <c r="AL6" s="10" t="str">
        <f>SUM(AL5:AL5)</f>
      </c>
    </row>
  </sheetData>
  <mergeCells count="16">
    <mergeCell ref="A1:B2"/>
    <mergeCell ref="C1:E1"/>
    <mergeCell ref="F1:H1"/>
    <mergeCell ref="I1:K1"/>
    <mergeCell ref="L1:N1"/>
    <mergeCell ref="O1:Q1"/>
    <mergeCell ref="R1:T1"/>
    <mergeCell ref="U1:W1"/>
    <mergeCell ref="X1:Z1"/>
    <mergeCell ref="AA1:AC1"/>
    <mergeCell ref="AD1:AF1"/>
    <mergeCell ref="AG1:AI1"/>
    <mergeCell ref="AJ1:AL1"/>
    <mergeCell ref="B3:B4"/>
    <mergeCell ref="B5:B6"/>
    <mergeCell ref="A3:A6"/>
  </mergeCells>
</worksheet>
</file>

<file path=xl/worksheets/sheet3.xml><?xml version="1.0" encoding="utf-8"?>
<worksheet xmlns="http://schemas.openxmlformats.org/spreadsheetml/2006/main">
  <dimension ref="A1"/>
  <sheetViews>
    <sheetView workbookViewId="0">
      <pane activePane="bottomRight" state="frozen" topLeftCell="C3" xSplit="2" ySplit="2"/>
    </sheetView>
  </sheetViews>
  <cols>
    <col customWidth="true" max="1" min="1" width="20.57"/>
    <col customWidth="true" max="2" min="2" width="15.71"/>
    <col customWidth="true" max="3" min="3" width="14.29"/>
    <col customWidth="true" max="4" min="4" width="8"/>
    <col customWidth="true" max="5" min="5" width="12.14"/>
    <col customWidth="true" max="6" min="6" width="14.29"/>
    <col customWidth="true" max="7" min="7" width="8"/>
    <col customWidth="true" max="8" min="8" width="12.14"/>
    <col customWidth="true" max="9" min="9" width="14.29"/>
    <col customWidth="true" max="10" min="10" width="8"/>
    <col customWidth="true" max="11" min="11" width="12.14"/>
    <col customWidth="true" max="12" min="12" width="14.29"/>
    <col customWidth="true" max="13" min="13" width="8"/>
    <col customWidth="true" max="14" min="14" width="12.14"/>
    <col customWidth="true" max="15" min="15" width="14.29"/>
    <col customWidth="true" max="16" min="16" width="8"/>
    <col customWidth="true" max="17" min="17" width="12.14"/>
    <col customWidth="true" max="18" min="18" width="14.29"/>
    <col customWidth="true" max="19" min="19" width="8"/>
    <col customWidth="true" max="20" min="20" width="12.14"/>
    <col customWidth="true" max="21" min="21" width="14.29"/>
    <col customWidth="true" max="22" min="22" width="8"/>
    <col customWidth="true" max="23" min="23" width="12.14"/>
    <col customWidth="true" max="24" min="24" width="14.29"/>
    <col customWidth="true" max="25" min="25" width="8"/>
    <col customWidth="true" max="26" min="26" width="12.14"/>
    <col customWidth="true" max="27" min="27" width="14.29"/>
    <col customWidth="true" max="28" min="28" width="8"/>
    <col customWidth="true" max="29" min="29" width="12.14"/>
    <col customWidth="true" max="30" min="30" width="14.29"/>
    <col customWidth="true" max="31" min="31" width="8"/>
    <col customWidth="true" max="32" min="32" width="12.14"/>
    <col customWidth="true" max="33" min="33" width="14.29"/>
    <col customWidth="true" max="34" min="34" width="8"/>
    <col customWidth="true" max="35" min="35" width="12.14"/>
    <col customWidth="true" max="36" min="36" width="14.29"/>
    <col customWidth="true" max="37" min="37" width="8"/>
    <col customWidth="true" max="38" min="38" width="12.14"/>
  </cols>
  <sheetData>
    <row r="1" ht="18" customHeight="true">
      <c r="A1" s="1" t="s">
        <v>0</v>
      </c>
      <c r="C1" s="2" t="s">
        <v>1</v>
      </c>
      <c r="F1" s="2" t="s">
        <v>5</v>
      </c>
      <c r="I1" s="2" t="s">
        <v>6</v>
      </c>
      <c r="L1" s="2" t="s">
        <v>7</v>
      </c>
      <c r="O1" s="2" t="s">
        <v>8</v>
      </c>
      <c r="R1" s="2" t="s">
        <v>9</v>
      </c>
      <c r="U1" s="2" t="s">
        <v>10</v>
      </c>
      <c r="X1" s="2" t="s">
        <v>11</v>
      </c>
      <c r="AA1" s="2" t="s">
        <v>12</v>
      </c>
      <c r="AD1" s="2" t="s">
        <v>13</v>
      </c>
      <c r="AG1" s="2" t="s">
        <v>14</v>
      </c>
      <c r="AJ1" s="2" t="s">
        <v>15</v>
      </c>
    </row>
    <row r="2" ht="15" customHeight="true">
      <c r="C2" s="3" t="s">
        <v>2</v>
      </c>
      <c r="D2" s="3" t="s">
        <v>3</v>
      </c>
      <c r="E2" s="3" t="s">
        <v>4</v>
      </c>
      <c r="F2" s="3" t="s">
        <v>2</v>
      </c>
      <c r="G2" s="3" t="s">
        <v>3</v>
      </c>
      <c r="H2" s="3" t="s">
        <v>4</v>
      </c>
      <c r="I2" s="3" t="s">
        <v>2</v>
      </c>
      <c r="J2" s="3" t="s">
        <v>3</v>
      </c>
      <c r="K2" s="3" t="s">
        <v>4</v>
      </c>
      <c r="L2" s="3" t="s">
        <v>2</v>
      </c>
      <c r="M2" s="3" t="s">
        <v>3</v>
      </c>
      <c r="N2" s="3" t="s">
        <v>4</v>
      </c>
      <c r="O2" s="3" t="s">
        <v>2</v>
      </c>
      <c r="P2" s="3" t="s">
        <v>3</v>
      </c>
      <c r="Q2" s="3" t="s">
        <v>4</v>
      </c>
      <c r="R2" s="3" t="s">
        <v>2</v>
      </c>
      <c r="S2" s="3" t="s">
        <v>3</v>
      </c>
      <c r="T2" s="3" t="s">
        <v>4</v>
      </c>
      <c r="U2" s="3" t="s">
        <v>2</v>
      </c>
      <c r="V2" s="3" t="s">
        <v>3</v>
      </c>
      <c r="W2" s="3" t="s">
        <v>4</v>
      </c>
      <c r="X2" s="3" t="s">
        <v>2</v>
      </c>
      <c r="Y2" s="3" t="s">
        <v>3</v>
      </c>
      <c r="Z2" s="3" t="s">
        <v>4</v>
      </c>
      <c r="AA2" s="3" t="s">
        <v>2</v>
      </c>
      <c r="AB2" s="3" t="s">
        <v>3</v>
      </c>
      <c r="AC2" s="3" t="s">
        <v>4</v>
      </c>
      <c r="AD2" s="3" t="s">
        <v>2</v>
      </c>
      <c r="AE2" s="3" t="s">
        <v>3</v>
      </c>
      <c r="AF2" s="3" t="s">
        <v>4</v>
      </c>
      <c r="AG2" s="3" t="s">
        <v>2</v>
      </c>
      <c r="AH2" s="3" t="s">
        <v>3</v>
      </c>
      <c r="AI2" s="3" t="s">
        <v>4</v>
      </c>
      <c r="AJ2" s="3" t="s">
        <v>2</v>
      </c>
      <c r="AK2" s="3" t="s">
        <v>3</v>
      </c>
      <c r="AL2" s="3" t="s">
        <v>4</v>
      </c>
    </row>
    <row r="3" ht="12.75" customHeight="true">
      <c r="A3" s="4" t="s">
        <v>25</v>
      </c>
      <c r="B3" s="5" t="s">
        <v>22</v>
      </c>
      <c r="C3" s="7" t="s">
        <v>22</v>
      </c>
      <c r="D3" s="14">
        <v>46025</v>
      </c>
      <c r="E3" s="13">
        <v>150</v>
      </c>
      <c r="F3" s="7" t="s">
        <v>22</v>
      </c>
      <c r="G3" s="14">
        <v>46060</v>
      </c>
      <c r="H3" s="13">
        <v>150</v>
      </c>
      <c r="I3" s="7"/>
      <c r="J3" s="14"/>
      <c r="K3" s="13"/>
      <c r="L3" s="7"/>
      <c r="M3" s="14"/>
      <c r="N3" s="13"/>
      <c r="O3" s="7"/>
      <c r="P3" s="14"/>
      <c r="Q3" s="13"/>
      <c r="R3" s="7"/>
      <c r="S3" s="14"/>
      <c r="T3" s="13"/>
      <c r="U3" s="7"/>
      <c r="V3" s="14"/>
      <c r="W3" s="13"/>
      <c r="X3" s="7"/>
      <c r="Y3" s="14"/>
      <c r="Z3" s="13"/>
      <c r="AA3" s="7"/>
      <c r="AB3" s="14"/>
      <c r="AC3" s="13"/>
      <c r="AD3" s="7"/>
      <c r="AE3" s="14"/>
      <c r="AF3" s="13"/>
      <c r="AG3" s="7"/>
      <c r="AH3" s="14"/>
      <c r="AI3" s="13"/>
      <c r="AJ3" s="7"/>
      <c r="AK3" s="14"/>
      <c r="AL3" s="13"/>
    </row>
    <row r="4" ht="12.75" customHeight="true">
      <c r="A4" s="4"/>
      <c r="B4" s="5"/>
      <c r="C4" s="6" t="s">
        <v>22</v>
      </c>
      <c r="D4" s="14">
        <v>46032</v>
      </c>
      <c r="E4" s="13">
        <v>160</v>
      </c>
      <c r="F4" s="6" t="s">
        <v>22</v>
      </c>
      <c r="G4" s="14">
        <v>46067</v>
      </c>
      <c r="H4" s="13">
        <v>165</v>
      </c>
      <c r="I4" s="6"/>
      <c r="J4" s="14"/>
      <c r="K4" s="13"/>
      <c r="L4" s="6"/>
      <c r="M4" s="14"/>
      <c r="N4" s="13"/>
      <c r="O4" s="6"/>
      <c r="P4" s="14"/>
      <c r="Q4" s="13"/>
      <c r="R4" s="6"/>
      <c r="S4" s="14"/>
      <c r="T4" s="13"/>
      <c r="U4" s="6"/>
      <c r="V4" s="14"/>
      <c r="W4" s="13"/>
      <c r="X4" s="6"/>
      <c r="Y4" s="14"/>
      <c r="Z4" s="13"/>
      <c r="AA4" s="6"/>
      <c r="AB4" s="14"/>
      <c r="AC4" s="13"/>
      <c r="AD4" s="6"/>
      <c r="AE4" s="14"/>
      <c r="AF4" s="13"/>
      <c r="AG4" s="6"/>
      <c r="AH4" s="14"/>
      <c r="AI4" s="13"/>
      <c r="AJ4" s="6"/>
      <c r="AK4" s="14"/>
      <c r="AL4" s="13"/>
    </row>
    <row r="5" ht="12.75" customHeight="true">
      <c r="A5" s="4"/>
      <c r="B5" s="5"/>
      <c r="C5" s="6" t="s">
        <v>22</v>
      </c>
      <c r="D5" s="14">
        <v>46039</v>
      </c>
      <c r="E5" s="13">
        <v>155.5</v>
      </c>
      <c r="F5" s="6" t="s">
        <v>22</v>
      </c>
      <c r="G5" s="14">
        <v>46074</v>
      </c>
      <c r="H5" s="13">
        <v>158</v>
      </c>
      <c r="I5" s="6"/>
      <c r="J5" s="14"/>
      <c r="K5" s="13"/>
      <c r="L5" s="6"/>
      <c r="M5" s="14"/>
      <c r="N5" s="13"/>
      <c r="O5" s="6"/>
      <c r="P5" s="14"/>
      <c r="Q5" s="13"/>
      <c r="R5" s="6"/>
      <c r="S5" s="14"/>
      <c r="T5" s="13"/>
      <c r="U5" s="6"/>
      <c r="V5" s="14"/>
      <c r="W5" s="13"/>
      <c r="X5" s="6"/>
      <c r="Y5" s="14"/>
      <c r="Z5" s="13"/>
      <c r="AA5" s="6"/>
      <c r="AB5" s="14"/>
      <c r="AC5" s="13"/>
      <c r="AD5" s="6"/>
      <c r="AE5" s="14"/>
      <c r="AF5" s="13"/>
      <c r="AG5" s="6"/>
      <c r="AH5" s="14"/>
      <c r="AI5" s="13"/>
      <c r="AJ5" s="6"/>
      <c r="AK5" s="14"/>
      <c r="AL5" s="13"/>
    </row>
    <row r="6" ht="12.75" customHeight="true">
      <c r="A6" s="4"/>
      <c r="B6" s="5"/>
      <c r="C6" s="8" t="s">
        <v>17</v>
      </c>
      <c r="D6" s="8" t="s">
        <v>18</v>
      </c>
      <c r="E6" s="10" t="str">
        <f>SUM(E3:E5)</f>
      </c>
      <c r="F6" s="9" t="s">
        <v>17</v>
      </c>
      <c r="G6" s="8" t="s">
        <v>18</v>
      </c>
      <c r="H6" s="11" t="str">
        <f>SUM(H3:H5)</f>
      </c>
      <c r="I6" s="8" t="s">
        <v>17</v>
      </c>
      <c r="J6" s="8" t="s">
        <v>18</v>
      </c>
      <c r="K6" s="10" t="str">
        <f>SUM(K3:K5)</f>
      </c>
      <c r="L6" s="9" t="s">
        <v>17</v>
      </c>
      <c r="M6" s="8" t="s">
        <v>18</v>
      </c>
      <c r="N6" s="11" t="str">
        <f>SUM(N3:N5)</f>
      </c>
      <c r="O6" s="8" t="s">
        <v>17</v>
      </c>
      <c r="P6" s="8" t="s">
        <v>18</v>
      </c>
      <c r="Q6" s="10" t="str">
        <f>SUM(Q3:Q5)</f>
      </c>
      <c r="R6" s="9" t="s">
        <v>17</v>
      </c>
      <c r="S6" s="8" t="s">
        <v>18</v>
      </c>
      <c r="T6" s="11" t="str">
        <f>SUM(T3:T5)</f>
      </c>
      <c r="U6" s="8" t="s">
        <v>17</v>
      </c>
      <c r="V6" s="8" t="s">
        <v>18</v>
      </c>
      <c r="W6" s="10" t="str">
        <f>SUM(W3:W5)</f>
      </c>
      <c r="X6" s="9" t="s">
        <v>17</v>
      </c>
      <c r="Y6" s="8" t="s">
        <v>18</v>
      </c>
      <c r="Z6" s="11" t="str">
        <f>SUM(Z3:Z5)</f>
      </c>
      <c r="AA6" s="8" t="s">
        <v>17</v>
      </c>
      <c r="AB6" s="8" t="s">
        <v>18</v>
      </c>
      <c r="AC6" s="10" t="str">
        <f>SUM(AC3:AC5)</f>
      </c>
      <c r="AD6" s="9" t="s">
        <v>17</v>
      </c>
      <c r="AE6" s="8" t="s">
        <v>18</v>
      </c>
      <c r="AF6" s="11" t="str">
        <f>SUM(AF3:AF5)</f>
      </c>
      <c r="AG6" s="8" t="s">
        <v>17</v>
      </c>
      <c r="AH6" s="8" t="s">
        <v>18</v>
      </c>
      <c r="AI6" s="10" t="str">
        <f>SUM(AI3:AI5)</f>
      </c>
      <c r="AJ6" s="9" t="s">
        <v>17</v>
      </c>
      <c r="AK6" s="8" t="s">
        <v>18</v>
      </c>
      <c r="AL6" s="11" t="str">
        <f>SUM(AL3:AL5)</f>
      </c>
    </row>
    <row r="7" ht="12.75" customHeight="true">
      <c r="A7" s="4"/>
      <c r="B7" s="5" t="s">
        <v>23</v>
      </c>
      <c r="C7" s="7" t="s">
        <v>23</v>
      </c>
      <c r="D7" s="14">
        <v>46027</v>
      </c>
      <c r="E7" s="13">
        <v>1200</v>
      </c>
      <c r="F7" s="7" t="s">
        <v>23</v>
      </c>
      <c r="G7" s="14">
        <v>46058</v>
      </c>
      <c r="H7" s="13">
        <v>1200</v>
      </c>
      <c r="I7" s="7"/>
      <c r="J7" s="14"/>
      <c r="K7" s="13"/>
      <c r="L7" s="7"/>
      <c r="M7" s="14"/>
      <c r="N7" s="13"/>
      <c r="O7" s="7"/>
      <c r="P7" s="14"/>
      <c r="Q7" s="13"/>
      <c r="R7" s="7"/>
      <c r="S7" s="14"/>
      <c r="T7" s="13"/>
      <c r="U7" s="7"/>
      <c r="V7" s="14"/>
      <c r="W7" s="13"/>
      <c r="X7" s="7"/>
      <c r="Y7" s="14"/>
      <c r="Z7" s="13"/>
      <c r="AA7" s="7"/>
      <c r="AB7" s="14"/>
      <c r="AC7" s="13"/>
      <c r="AD7" s="7"/>
      <c r="AE7" s="14"/>
      <c r="AF7" s="13"/>
      <c r="AG7" s="7"/>
      <c r="AH7" s="14"/>
      <c r="AI7" s="13"/>
      <c r="AJ7" s="7"/>
      <c r="AK7" s="14"/>
      <c r="AL7" s="13"/>
    </row>
    <row r="8" ht="12.75" customHeight="true">
      <c r="A8" s="4"/>
      <c r="B8" s="5"/>
      <c r="C8" s="6" t="s">
        <v>24</v>
      </c>
      <c r="D8" s="14">
        <v>46027</v>
      </c>
      <c r="E8" s="13">
        <v>380.75</v>
      </c>
      <c r="F8" s="6"/>
      <c r="G8" s="14"/>
      <c r="H8" s="13"/>
      <c r="I8" s="6"/>
      <c r="J8" s="14"/>
      <c r="K8" s="13"/>
      <c r="L8" s="6"/>
      <c r="M8" s="14"/>
      <c r="N8" s="13"/>
      <c r="O8" s="6"/>
      <c r="P8" s="14"/>
      <c r="Q8" s="13"/>
      <c r="R8" s="6"/>
      <c r="S8" s="14"/>
      <c r="T8" s="13"/>
      <c r="U8" s="6"/>
      <c r="V8" s="14"/>
      <c r="W8" s="13"/>
      <c r="X8" s="6"/>
      <c r="Y8" s="14"/>
      <c r="Z8" s="13"/>
      <c r="AA8" s="6"/>
      <c r="AB8" s="14"/>
      <c r="AC8" s="13"/>
      <c r="AD8" s="6"/>
      <c r="AE8" s="14"/>
      <c r="AF8" s="13"/>
      <c r="AG8" s="6"/>
      <c r="AH8" s="14"/>
      <c r="AI8" s="13"/>
      <c r="AJ8" s="6"/>
      <c r="AK8" s="14"/>
      <c r="AL8" s="13"/>
    </row>
    <row r="9" ht="12.75" customHeight="true">
      <c r="A9" s="4"/>
      <c r="B9" s="5"/>
      <c r="C9" s="8" t="s">
        <v>17</v>
      </c>
      <c r="D9" s="8" t="s">
        <v>18</v>
      </c>
      <c r="E9" s="10" t="str">
        <f>SUM(E7:E8)</f>
      </c>
      <c r="F9" s="9" t="s">
        <v>17</v>
      </c>
      <c r="G9" s="8" t="s">
        <v>18</v>
      </c>
      <c r="H9" s="11" t="str">
        <f>SUM(H7:H8)</f>
      </c>
      <c r="I9" s="8" t="s">
        <v>17</v>
      </c>
      <c r="J9" s="8" t="s">
        <v>18</v>
      </c>
      <c r="K9" s="10" t="str">
        <f>SUM(K7:K8)</f>
      </c>
      <c r="L9" s="9" t="s">
        <v>17</v>
      </c>
      <c r="M9" s="8" t="s">
        <v>18</v>
      </c>
      <c r="N9" s="11" t="str">
        <f>SUM(N7:N8)</f>
      </c>
      <c r="O9" s="8" t="s">
        <v>17</v>
      </c>
      <c r="P9" s="8" t="s">
        <v>18</v>
      </c>
      <c r="Q9" s="10" t="str">
        <f>SUM(Q7:Q8)</f>
      </c>
      <c r="R9" s="9" t="s">
        <v>17</v>
      </c>
      <c r="S9" s="8" t="s">
        <v>18</v>
      </c>
      <c r="T9" s="11" t="str">
        <f>SUM(T7:T8)</f>
      </c>
      <c r="U9" s="8" t="s">
        <v>17</v>
      </c>
      <c r="V9" s="8" t="s">
        <v>18</v>
      </c>
      <c r="W9" s="10" t="str">
        <f>SUM(W7:W8)</f>
      </c>
      <c r="X9" s="9" t="s">
        <v>17</v>
      </c>
      <c r="Y9" s="8" t="s">
        <v>18</v>
      </c>
      <c r="Z9" s="11" t="str">
        <f>SUM(Z7:Z8)</f>
      </c>
      <c r="AA9" s="8" t="s">
        <v>17</v>
      </c>
      <c r="AB9" s="8" t="s">
        <v>18</v>
      </c>
      <c r="AC9" s="10" t="str">
        <f>SUM(AC7:AC8)</f>
      </c>
      <c r="AD9" s="9" t="s">
        <v>17</v>
      </c>
      <c r="AE9" s="8" t="s">
        <v>18</v>
      </c>
      <c r="AF9" s="11" t="str">
        <f>SUM(AF7:AF8)</f>
      </c>
      <c r="AG9" s="8" t="s">
        <v>17</v>
      </c>
      <c r="AH9" s="8" t="s">
        <v>18</v>
      </c>
      <c r="AI9" s="10" t="str">
        <f>SUM(AI7:AI8)</f>
      </c>
      <c r="AJ9" s="9" t="s">
        <v>17</v>
      </c>
      <c r="AK9" s="8" t="s">
        <v>18</v>
      </c>
      <c r="AL9" s="11" t="str">
        <f>SUM(AL7:AL8)</f>
      </c>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row>
    <row r="13" ht="12.75" customHeight="true">
      <c r="A13" s="4" t="s">
        <v>28</v>
      </c>
      <c r="B13" s="5" t="s">
        <v>26</v>
      </c>
      <c r="C13" s="7" t="s">
        <v>26</v>
      </c>
      <c r="D13" s="14">
        <v>46024</v>
      </c>
      <c r="E13" s="13">
        <v>39.9</v>
      </c>
      <c r="F13" s="7" t="s">
        <v>26</v>
      </c>
      <c r="G13" s="14">
        <v>46055</v>
      </c>
      <c r="H13" s="13">
        <v>39.9</v>
      </c>
      <c r="I13" s="7"/>
      <c r="J13" s="14"/>
      <c r="K13" s="13"/>
      <c r="L13" s="7"/>
      <c r="M13" s="14"/>
      <c r="N13" s="13"/>
      <c r="O13" s="7"/>
      <c r="P13" s="14"/>
      <c r="Q13" s="13"/>
      <c r="R13" s="7"/>
      <c r="S13" s="14"/>
      <c r="T13" s="13"/>
      <c r="U13" s="7"/>
      <c r="V13" s="14"/>
      <c r="W13" s="13"/>
      <c r="X13" s="7"/>
      <c r="Y13" s="14"/>
      <c r="Z13" s="13"/>
      <c r="AA13" s="7"/>
      <c r="AB13" s="14"/>
      <c r="AC13" s="13"/>
      <c r="AD13" s="7"/>
      <c r="AE13" s="14"/>
      <c r="AF13" s="13"/>
      <c r="AG13" s="7"/>
      <c r="AH13" s="14"/>
      <c r="AI13" s="13"/>
      <c r="AJ13" s="7"/>
      <c r="AK13" s="14"/>
      <c r="AL13" s="13"/>
    </row>
    <row r="14" ht="12.75" customHeight="true">
      <c r="A14" s="4"/>
      <c r="B14" s="5"/>
      <c r="C14" s="8" t="s">
        <v>17</v>
      </c>
      <c r="D14" s="8" t="s">
        <v>18</v>
      </c>
      <c r="E14" s="10" t="str">
        <f>SUM(E13:E13)</f>
      </c>
      <c r="F14" s="9" t="s">
        <v>17</v>
      </c>
      <c r="G14" s="8" t="s">
        <v>18</v>
      </c>
      <c r="H14" s="11" t="str">
        <f>SUM(H13:H13)</f>
      </c>
      <c r="I14" s="8" t="s">
        <v>17</v>
      </c>
      <c r="J14" s="8" t="s">
        <v>18</v>
      </c>
      <c r="K14" s="10" t="str">
        <f>SUM(K13:K13)</f>
      </c>
      <c r="L14" s="9" t="s">
        <v>17</v>
      </c>
      <c r="M14" s="8" t="s">
        <v>18</v>
      </c>
      <c r="N14" s="11" t="str">
        <f>SUM(N13:N13)</f>
      </c>
      <c r="O14" s="8" t="s">
        <v>17</v>
      </c>
      <c r="P14" s="8" t="s">
        <v>18</v>
      </c>
      <c r="Q14" s="10" t="str">
        <f>SUM(Q13:Q13)</f>
      </c>
      <c r="R14" s="9" t="s">
        <v>17</v>
      </c>
      <c r="S14" s="8" t="s">
        <v>18</v>
      </c>
      <c r="T14" s="11" t="str">
        <f>SUM(T13:T13)</f>
      </c>
      <c r="U14" s="8" t="s">
        <v>17</v>
      </c>
      <c r="V14" s="8" t="s">
        <v>18</v>
      </c>
      <c r="W14" s="10" t="str">
        <f>SUM(W13:W13)</f>
      </c>
      <c r="X14" s="9" t="s">
        <v>17</v>
      </c>
      <c r="Y14" s="8" t="s">
        <v>18</v>
      </c>
      <c r="Z14" s="11" t="str">
        <f>SUM(Z13:Z13)</f>
      </c>
      <c r="AA14" s="8" t="s">
        <v>17</v>
      </c>
      <c r="AB14" s="8" t="s">
        <v>18</v>
      </c>
      <c r="AC14" s="10" t="str">
        <f>SUM(AC13:AC13)</f>
      </c>
      <c r="AD14" s="9" t="s">
        <v>17</v>
      </c>
      <c r="AE14" s="8" t="s">
        <v>18</v>
      </c>
      <c r="AF14" s="11" t="str">
        <f>SUM(AF13:AF13)</f>
      </c>
      <c r="AG14" s="8" t="s">
        <v>17</v>
      </c>
      <c r="AH14" s="8" t="s">
        <v>18</v>
      </c>
      <c r="AI14" s="10" t="str">
        <f>SUM(AI13:AI13)</f>
      </c>
      <c r="AJ14" s="9" t="s">
        <v>17</v>
      </c>
      <c r="AK14" s="8" t="s">
        <v>18</v>
      </c>
      <c r="AL14" s="11" t="str">
        <f>SUM(AL13:AL13)</f>
      </c>
    </row>
    <row r="15" ht="12.75" customHeight="true">
      <c r="A15" s="4"/>
      <c r="B15" s="5" t="s">
        <v>27</v>
      </c>
      <c r="C15" s="7" t="s">
        <v>27</v>
      </c>
      <c r="D15" s="14">
        <v>46030</v>
      </c>
      <c r="E15" s="13">
        <v>19.9</v>
      </c>
      <c r="F15" s="7" t="s">
        <v>27</v>
      </c>
      <c r="G15" s="14">
        <v>46061</v>
      </c>
      <c r="H15" s="13">
        <v>21.9</v>
      </c>
      <c r="I15" s="7"/>
      <c r="J15" s="14"/>
      <c r="K15" s="13"/>
      <c r="L15" s="7"/>
      <c r="M15" s="14"/>
      <c r="N15" s="13"/>
      <c r="O15" s="7"/>
      <c r="P15" s="14"/>
      <c r="Q15" s="13"/>
      <c r="R15" s="7"/>
      <c r="S15" s="14"/>
      <c r="T15" s="13"/>
      <c r="U15" s="7"/>
      <c r="V15" s="14"/>
      <c r="W15" s="13"/>
      <c r="X15" s="7"/>
      <c r="Y15" s="14"/>
      <c r="Z15" s="13"/>
      <c r="AA15" s="7"/>
      <c r="AB15" s="14"/>
      <c r="AC15" s="13"/>
      <c r="AD15" s="7"/>
      <c r="AE15" s="14"/>
      <c r="AF15" s="13"/>
      <c r="AG15" s="7"/>
      <c r="AH15" s="14"/>
      <c r="AI15" s="13"/>
      <c r="AJ15" s="7"/>
      <c r="AK15" s="14"/>
      <c r="AL15" s="13"/>
    </row>
    <row r="16" ht="12.75" customHeight="true">
      <c r="A16" s="4"/>
      <c r="B16" s="5"/>
      <c r="C16" s="8" t="s">
        <v>17</v>
      </c>
      <c r="D16" s="8" t="s">
        <v>18</v>
      </c>
      <c r="E16" s="10" t="str">
        <f>SUM(E15:E15)</f>
      </c>
      <c r="F16" s="9" t="s">
        <v>17</v>
      </c>
      <c r="G16" s="8" t="s">
        <v>18</v>
      </c>
      <c r="H16" s="11" t="str">
        <f>SUM(H15:H15)</f>
      </c>
      <c r="I16" s="8" t="s">
        <v>17</v>
      </c>
      <c r="J16" s="8" t="s">
        <v>18</v>
      </c>
      <c r="K16" s="10" t="str">
        <f>SUM(K15:K15)</f>
      </c>
      <c r="L16" s="9" t="s">
        <v>17</v>
      </c>
      <c r="M16" s="8" t="s">
        <v>18</v>
      </c>
      <c r="N16" s="11" t="str">
        <f>SUM(N15:N15)</f>
      </c>
      <c r="O16" s="8" t="s">
        <v>17</v>
      </c>
      <c r="P16" s="8" t="s">
        <v>18</v>
      </c>
      <c r="Q16" s="10" t="str">
        <f>SUM(Q15:Q15)</f>
      </c>
      <c r="R16" s="9" t="s">
        <v>17</v>
      </c>
      <c r="S16" s="8" t="s">
        <v>18</v>
      </c>
      <c r="T16" s="11" t="str">
        <f>SUM(T15:T15)</f>
      </c>
      <c r="U16" s="8" t="s">
        <v>17</v>
      </c>
      <c r="V16" s="8" t="s">
        <v>18</v>
      </c>
      <c r="W16" s="10" t="str">
        <f>SUM(W15:W15)</f>
      </c>
      <c r="X16" s="9" t="s">
        <v>17</v>
      </c>
      <c r="Y16" s="8" t="s">
        <v>18</v>
      </c>
      <c r="Z16" s="11" t="str">
        <f>SUM(Z15:Z15)</f>
      </c>
      <c r="AA16" s="8" t="s">
        <v>17</v>
      </c>
      <c r="AB16" s="8" t="s">
        <v>18</v>
      </c>
      <c r="AC16" s="10" t="str">
        <f>SUM(AC15:AC15)</f>
      </c>
      <c r="AD16" s="9" t="s">
        <v>17</v>
      </c>
      <c r="AE16" s="8" t="s">
        <v>18</v>
      </c>
      <c r="AF16" s="11" t="str">
        <f>SUM(AF15:AF15)</f>
      </c>
      <c r="AG16" s="8" t="s">
        <v>17</v>
      </c>
      <c r="AH16" s="8" t="s">
        <v>18</v>
      </c>
      <c r="AI16" s="10" t="str">
        <f>SUM(AI15:AI15)</f>
      </c>
      <c r="AJ16" s="9" t="s">
        <v>17</v>
      </c>
      <c r="AK16" s="8" t="s">
        <v>18</v>
      </c>
      <c r="AL16" s="11" t="str">
        <f>SUM(AL15:AL15)</f>
      </c>
    </row>
  </sheetData>
  <mergeCells count="19">
    <mergeCell ref="A1:B2"/>
    <mergeCell ref="C1:E1"/>
    <mergeCell ref="F1:H1"/>
    <mergeCell ref="I1:K1"/>
    <mergeCell ref="L1:N1"/>
    <mergeCell ref="O1:Q1"/>
    <mergeCell ref="R1:T1"/>
    <mergeCell ref="U1:W1"/>
    <mergeCell ref="X1:Z1"/>
    <mergeCell ref="AA1:AC1"/>
    <mergeCell ref="AD1:AF1"/>
    <mergeCell ref="AG1:AI1"/>
    <mergeCell ref="AJ1:AL1"/>
    <mergeCell ref="B3:B6"/>
    <mergeCell ref="B7:B9"/>
    <mergeCell ref="A3:A9"/>
    <mergeCell ref="B13:B14"/>
    <mergeCell ref="B15:B16"/>
    <mergeCell ref="A13:A16"/>
  </mergeCells>
</worksheet>
</file>

<file path=xl/worksheets/sheet4.xml><?xml version="1.0" encoding="utf-8"?>
<worksheet xmlns="http://schemas.openxmlformats.org/spreadsheetml/2006/main">
  <dimension ref="A1"/>
  <sheetViews>
    <sheetView workbookViewId="0">
      <pane activePane="bottomRight" state="frozen" topLeftCell="C3" xSplit="2" ySplit="2"/>
    </sheetView>
  </sheetViews>
  <cols>
    <col customWidth="true" max="1" min="1" width="20.57"/>
    <col customWidth="true" max="2" min="2" width="15.71"/>
    <col customWidth="true" max="3" min="3" width="14.29"/>
    <col customWidth="true" max="4" min="4" width="8"/>
    <col customWidth="true" max="5" min="5" width="12.14"/>
    <col customWidth="true" max="6" min="6" width="14.29"/>
    <col customWidth="true" max="7" min="7" width="8"/>
    <col customWidth="true" max="8" min="8" width="12.14"/>
    <col customWidth="true" max="9" min="9" width="14.29"/>
    <col customWidth="true" max="10" min="10" width="8"/>
    <col customWidth="true" max="11" min="11" width="12.14"/>
    <col customWidth="true" max="12" min="12" width="14.29"/>
    <col customWidth="true" max="13" min="13" width="8"/>
    <col customWidth="true" max="14" min="14" width="12.14"/>
    <col customWidth="true" max="15" min="15" width="14.29"/>
    <col customWidth="true" max="16" min="16" width="8"/>
    <col customWidth="true" max="17" min="17" width="12.14"/>
    <col customWidth="true" max="18" min="18" width="14.29"/>
    <col customWidth="true" max="19" min="19" width="8"/>
    <col customWidth="true" max="20" min="20" width="12.14"/>
    <col customWidth="true" max="21" min="21" width="14.29"/>
    <col customWidth="true" max="22" min="22" width="8"/>
    <col customWidth="true" max="23" min="23" width="12.14"/>
    <col customWidth="true" max="24" min="24" width="14.29"/>
    <col customWidth="true" max="25" min="25" width="8"/>
    <col customWidth="true" max="26" min="26" width="12.14"/>
    <col customWidth="true" max="27" min="27" width="14.29"/>
    <col customWidth="true" max="28" min="28" width="8"/>
    <col customWidth="true" max="29" min="29" width="12.14"/>
    <col customWidth="true" max="30" min="30" width="14.29"/>
    <col customWidth="true" max="31" min="31" width="8"/>
    <col customWidth="true" max="32" min="32" width="12.14"/>
    <col customWidth="true" max="33" min="33" width="14.29"/>
    <col customWidth="true" max="34" min="34" width="8"/>
    <col customWidth="true" max="35" min="35" width="12.14"/>
    <col customWidth="true" max="36" min="36" width="14.29"/>
    <col customWidth="true" max="37" min="37" width="8"/>
    <col customWidth="true" max="38" min="38" width="12.14"/>
  </cols>
  <sheetData>
    <row r="1" ht="18" customHeight="true">
      <c r="A1" s="1" t="s">
        <v>0</v>
      </c>
      <c r="C1" s="2" t="s">
        <v>1</v>
      </c>
      <c r="F1" s="2" t="s">
        <v>5</v>
      </c>
      <c r="I1" s="2" t="s">
        <v>6</v>
      </c>
      <c r="L1" s="2" t="s">
        <v>7</v>
      </c>
      <c r="O1" s="2" t="s">
        <v>8</v>
      </c>
      <c r="R1" s="2" t="s">
        <v>9</v>
      </c>
      <c r="U1" s="2" t="s">
        <v>10</v>
      </c>
      <c r="X1" s="2" t="s">
        <v>11</v>
      </c>
      <c r="AA1" s="2" t="s">
        <v>12</v>
      </c>
      <c r="AD1" s="2" t="s">
        <v>13</v>
      </c>
      <c r="AG1" s="2" t="s">
        <v>14</v>
      </c>
      <c r="AJ1" s="2" t="s">
        <v>15</v>
      </c>
    </row>
    <row r="2" ht="15" customHeight="true">
      <c r="C2" s="3" t="s">
        <v>2</v>
      </c>
      <c r="D2" s="3" t="s">
        <v>3</v>
      </c>
      <c r="E2" s="3" t="s">
        <v>4</v>
      </c>
      <c r="F2" s="3" t="s">
        <v>2</v>
      </c>
      <c r="G2" s="3" t="s">
        <v>3</v>
      </c>
      <c r="H2" s="3" t="s">
        <v>4</v>
      </c>
      <c r="I2" s="3" t="s">
        <v>2</v>
      </c>
      <c r="J2" s="3" t="s">
        <v>3</v>
      </c>
      <c r="K2" s="3" t="s">
        <v>4</v>
      </c>
      <c r="L2" s="3" t="s">
        <v>2</v>
      </c>
      <c r="M2" s="3" t="s">
        <v>3</v>
      </c>
      <c r="N2" s="3" t="s">
        <v>4</v>
      </c>
      <c r="O2" s="3" t="s">
        <v>2</v>
      </c>
      <c r="P2" s="3" t="s">
        <v>3</v>
      </c>
      <c r="Q2" s="3" t="s">
        <v>4</v>
      </c>
      <c r="R2" s="3" t="s">
        <v>2</v>
      </c>
      <c r="S2" s="3" t="s">
        <v>3</v>
      </c>
      <c r="T2" s="3" t="s">
        <v>4</v>
      </c>
      <c r="U2" s="3" t="s">
        <v>2</v>
      </c>
      <c r="V2" s="3" t="s">
        <v>3</v>
      </c>
      <c r="W2" s="3" t="s">
        <v>4</v>
      </c>
      <c r="X2" s="3" t="s">
        <v>2</v>
      </c>
      <c r="Y2" s="3" t="s">
        <v>3</v>
      </c>
      <c r="Z2" s="3" t="s">
        <v>4</v>
      </c>
      <c r="AA2" s="3" t="s">
        <v>2</v>
      </c>
      <c r="AB2" s="3" t="s">
        <v>3</v>
      </c>
      <c r="AC2" s="3" t="s">
        <v>4</v>
      </c>
      <c r="AD2" s="3" t="s">
        <v>2</v>
      </c>
      <c r="AE2" s="3" t="s">
        <v>3</v>
      </c>
      <c r="AF2" s="3" t="s">
        <v>4</v>
      </c>
      <c r="AG2" s="3" t="s">
        <v>2</v>
      </c>
      <c r="AH2" s="3" t="s">
        <v>3</v>
      </c>
      <c r="AI2" s="3" t="s">
        <v>4</v>
      </c>
      <c r="AJ2" s="3" t="s">
        <v>2</v>
      </c>
      <c r="AK2" s="3" t="s">
        <v>3</v>
      </c>
      <c r="AL2" s="3" t="s">
        <v>4</v>
      </c>
    </row>
    <row r="3" ht="12.75" customHeight="true">
      <c r="A3" s="4" t="s">
        <v>32</v>
      </c>
      <c r="B3" s="5" t="s">
        <v>30</v>
      </c>
      <c r="C3" s="7" t="s">
        <v>29</v>
      </c>
      <c r="D3" s="14">
        <v>46028</v>
      </c>
      <c r="E3" s="13">
        <v>543.21</v>
      </c>
      <c r="F3" s="7" t="s">
        <v>29</v>
      </c>
      <c r="G3" s="14">
        <v>46062</v>
      </c>
      <c r="H3" s="13">
        <v>612</v>
      </c>
      <c r="I3" s="7"/>
      <c r="J3" s="14"/>
      <c r="K3" s="13"/>
      <c r="L3" s="7"/>
      <c r="M3" s="14"/>
      <c r="N3" s="13"/>
      <c r="O3" s="7"/>
      <c r="P3" s="14"/>
      <c r="Q3" s="13"/>
      <c r="R3" s="7"/>
      <c r="S3" s="14"/>
      <c r="T3" s="13"/>
      <c r="U3" s="7"/>
      <c r="V3" s="14"/>
      <c r="W3" s="13"/>
      <c r="X3" s="7"/>
      <c r="Y3" s="14"/>
      <c r="Z3" s="13"/>
      <c r="AA3" s="7"/>
      <c r="AB3" s="14"/>
      <c r="AC3" s="13"/>
      <c r="AD3" s="7"/>
      <c r="AE3" s="14"/>
      <c r="AF3" s="13"/>
      <c r="AG3" s="7"/>
      <c r="AH3" s="14"/>
      <c r="AI3" s="13"/>
      <c r="AJ3" s="7"/>
      <c r="AK3" s="14"/>
      <c r="AL3" s="13"/>
    </row>
    <row r="4" ht="12.75" customHeight="true">
      <c r="A4" s="4"/>
      <c r="B4" s="5"/>
      <c r="C4" s="8" t="s">
        <v>17</v>
      </c>
      <c r="D4" s="8" t="s">
        <v>18</v>
      </c>
      <c r="E4" s="10" t="str">
        <f>SUM(E3:E3)</f>
      </c>
      <c r="F4" s="9" t="s">
        <v>17</v>
      </c>
      <c r="G4" s="8" t="s">
        <v>18</v>
      </c>
      <c r="H4" s="11" t="str">
        <f>SUM(H3:H3)</f>
      </c>
      <c r="I4" s="8" t="s">
        <v>17</v>
      </c>
      <c r="J4" s="8" t="s">
        <v>18</v>
      </c>
      <c r="K4" s="10" t="str">
        <f>SUM(K3:K3)</f>
      </c>
      <c r="L4" s="9" t="s">
        <v>17</v>
      </c>
      <c r="M4" s="8" t="s">
        <v>18</v>
      </c>
      <c r="N4" s="11" t="str">
        <f>SUM(N3:N3)</f>
      </c>
      <c r="O4" s="8" t="s">
        <v>17</v>
      </c>
      <c r="P4" s="8" t="s">
        <v>18</v>
      </c>
      <c r="Q4" s="10" t="str">
        <f>SUM(Q3:Q3)</f>
      </c>
      <c r="R4" s="9" t="s">
        <v>17</v>
      </c>
      <c r="S4" s="8" t="s">
        <v>18</v>
      </c>
      <c r="T4" s="11" t="str">
        <f>SUM(T3:T3)</f>
      </c>
      <c r="U4" s="8" t="s">
        <v>17</v>
      </c>
      <c r="V4" s="8" t="s">
        <v>18</v>
      </c>
      <c r="W4" s="10" t="str">
        <f>SUM(W3:W3)</f>
      </c>
      <c r="X4" s="9" t="s">
        <v>17</v>
      </c>
      <c r="Y4" s="8" t="s">
        <v>18</v>
      </c>
      <c r="Z4" s="11" t="str">
        <f>SUM(Z3:Z3)</f>
      </c>
      <c r="AA4" s="8" t="s">
        <v>17</v>
      </c>
      <c r="AB4" s="8" t="s">
        <v>18</v>
      </c>
      <c r="AC4" s="10" t="str">
        <f>SUM(AC3:AC3)</f>
      </c>
      <c r="AD4" s="9" t="s">
        <v>17</v>
      </c>
      <c r="AE4" s="8" t="s">
        <v>18</v>
      </c>
      <c r="AF4" s="11" t="str">
        <f>SUM(AF3:AF3)</f>
      </c>
      <c r="AG4" s="8" t="s">
        <v>17</v>
      </c>
      <c r="AH4" s="8" t="s">
        <v>18</v>
      </c>
      <c r="AI4" s="10" t="str">
        <f>SUM(AI3:AI3)</f>
      </c>
      <c r="AJ4" s="9" t="s">
        <v>17</v>
      </c>
      <c r="AK4" s="8" t="s">
        <v>18</v>
      </c>
      <c r="AL4" s="11" t="str">
        <f>SUM(AL3:AL3)</f>
      </c>
    </row>
    <row r="5" ht="12.75" customHeight="true">
      <c r="A5" s="4"/>
      <c r="B5" s="5" t="s">
        <v>31</v>
      </c>
      <c r="C5" s="7" t="s">
        <v>31</v>
      </c>
      <c r="D5" s="14">
        <v>46026</v>
      </c>
      <c r="E5" s="13">
        <v>45</v>
      </c>
      <c r="F5" s="7" t="s">
        <v>31</v>
      </c>
      <c r="G5" s="14">
        <v>46065</v>
      </c>
      <c r="H5" s="13">
        <v>52.3</v>
      </c>
      <c r="I5" s="7"/>
      <c r="J5" s="14"/>
      <c r="K5" s="13"/>
      <c r="L5" s="7"/>
      <c r="M5" s="14"/>
      <c r="N5" s="13"/>
      <c r="O5" s="7"/>
      <c r="P5" s="14"/>
      <c r="Q5" s="13"/>
      <c r="R5" s="7"/>
      <c r="S5" s="14"/>
      <c r="T5" s="13"/>
      <c r="U5" s="7"/>
      <c r="V5" s="14"/>
      <c r="W5" s="13"/>
      <c r="X5" s="7"/>
      <c r="Y5" s="14"/>
      <c r="Z5" s="13"/>
      <c r="AA5" s="7"/>
      <c r="AB5" s="14"/>
      <c r="AC5" s="13"/>
      <c r="AD5" s="7"/>
      <c r="AE5" s="14"/>
      <c r="AF5" s="13"/>
      <c r="AG5" s="7"/>
      <c r="AH5" s="14"/>
      <c r="AI5" s="13"/>
      <c r="AJ5" s="7"/>
      <c r="AK5" s="14"/>
      <c r="AL5" s="13"/>
    </row>
    <row r="6" ht="12.75" customHeight="true">
      <c r="A6" s="4"/>
      <c r="B6" s="5"/>
      <c r="C6" s="8" t="s">
        <v>17</v>
      </c>
      <c r="D6" s="8" t="s">
        <v>18</v>
      </c>
      <c r="E6" s="10" t="str">
        <f>SUM(E5:E5)</f>
      </c>
      <c r="F6" s="9" t="s">
        <v>17</v>
      </c>
      <c r="G6" s="8" t="s">
        <v>18</v>
      </c>
      <c r="H6" s="11" t="str">
        <f>SUM(H5:H5)</f>
      </c>
      <c r="I6" s="8" t="s">
        <v>17</v>
      </c>
      <c r="J6" s="8" t="s">
        <v>18</v>
      </c>
      <c r="K6" s="10" t="str">
        <f>SUM(K5:K5)</f>
      </c>
      <c r="L6" s="9" t="s">
        <v>17</v>
      </c>
      <c r="M6" s="8" t="s">
        <v>18</v>
      </c>
      <c r="N6" s="11" t="str">
        <f>SUM(N5:N5)</f>
      </c>
      <c r="O6" s="8" t="s">
        <v>17</v>
      </c>
      <c r="P6" s="8" t="s">
        <v>18</v>
      </c>
      <c r="Q6" s="10" t="str">
        <f>SUM(Q5:Q5)</f>
      </c>
      <c r="R6" s="9" t="s">
        <v>17</v>
      </c>
      <c r="S6" s="8" t="s">
        <v>18</v>
      </c>
      <c r="T6" s="11" t="str">
        <f>SUM(T5:T5)</f>
      </c>
      <c r="U6" s="8" t="s">
        <v>17</v>
      </c>
      <c r="V6" s="8" t="s">
        <v>18</v>
      </c>
      <c r="W6" s="10" t="str">
        <f>SUM(W5:W5)</f>
      </c>
      <c r="X6" s="9" t="s">
        <v>17</v>
      </c>
      <c r="Y6" s="8" t="s">
        <v>18</v>
      </c>
      <c r="Z6" s="11" t="str">
        <f>SUM(Z5:Z5)</f>
      </c>
      <c r="AA6" s="8" t="s">
        <v>17</v>
      </c>
      <c r="AB6" s="8" t="s">
        <v>18</v>
      </c>
      <c r="AC6" s="10" t="str">
        <f>SUM(AC5:AC5)</f>
      </c>
      <c r="AD6" s="9" t="s">
        <v>17</v>
      </c>
      <c r="AE6" s="8" t="s">
        <v>18</v>
      </c>
      <c r="AF6" s="11" t="str">
        <f>SUM(AF5:AF5)</f>
      </c>
      <c r="AG6" s="8" t="s">
        <v>17</v>
      </c>
      <c r="AH6" s="8" t="s">
        <v>18</v>
      </c>
      <c r="AI6" s="10" t="str">
        <f>SUM(AI5:AI5)</f>
      </c>
      <c r="AJ6" s="9" t="s">
        <v>17</v>
      </c>
      <c r="AK6" s="8" t="s">
        <v>18</v>
      </c>
      <c r="AL6" s="11" t="str">
        <f>SUM(AL5:AL5)</f>
      </c>
    </row>
    <row r="8">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row>
    <row r="10" ht="12.75" customHeight="true">
      <c r="A10" s="4" t="s">
        <v>37</v>
      </c>
      <c r="B10" s="5" t="s">
        <v>34</v>
      </c>
      <c r="C10" s="7" t="s">
        <v>33</v>
      </c>
      <c r="D10" s="14">
        <v>46037</v>
      </c>
      <c r="E10" s="13">
        <v>200</v>
      </c>
      <c r="F10" s="7" t="s">
        <v>33</v>
      </c>
      <c r="G10" s="14">
        <v>46071</v>
      </c>
      <c r="H10" s="13">
        <v>210</v>
      </c>
      <c r="I10" s="7"/>
      <c r="J10" s="14"/>
      <c r="K10" s="13"/>
      <c r="L10" s="7"/>
      <c r="M10" s="14"/>
      <c r="N10" s="13"/>
      <c r="O10" s="7"/>
      <c r="P10" s="14"/>
      <c r="Q10" s="13"/>
      <c r="R10" s="7"/>
      <c r="S10" s="14"/>
      <c r="T10" s="13"/>
      <c r="U10" s="7"/>
      <c r="V10" s="14"/>
      <c r="W10" s="13"/>
      <c r="X10" s="7"/>
      <c r="Y10" s="14"/>
      <c r="Z10" s="13"/>
      <c r="AA10" s="7"/>
      <c r="AB10" s="14"/>
      <c r="AC10" s="13"/>
      <c r="AD10" s="7"/>
      <c r="AE10" s="14"/>
      <c r="AF10" s="13"/>
      <c r="AG10" s="7"/>
      <c r="AH10" s="14"/>
      <c r="AI10" s="13"/>
      <c r="AJ10" s="7"/>
      <c r="AK10" s="14"/>
      <c r="AL10" s="13"/>
    </row>
    <row r="11" ht="12.75" customHeight="true">
      <c r="A11" s="4"/>
      <c r="B11" s="5"/>
      <c r="C11" s="8" t="s">
        <v>17</v>
      </c>
      <c r="D11" s="8" t="s">
        <v>18</v>
      </c>
      <c r="E11" s="10" t="str">
        <f>SUM(E10:E10)</f>
      </c>
      <c r="F11" s="9" t="s">
        <v>17</v>
      </c>
      <c r="G11" s="8" t="s">
        <v>18</v>
      </c>
      <c r="H11" s="11" t="str">
        <f>SUM(H10:H10)</f>
      </c>
      <c r="I11" s="8" t="s">
        <v>17</v>
      </c>
      <c r="J11" s="8" t="s">
        <v>18</v>
      </c>
      <c r="K11" s="10" t="str">
        <f>SUM(K10:K10)</f>
      </c>
      <c r="L11" s="9" t="s">
        <v>17</v>
      </c>
      <c r="M11" s="8" t="s">
        <v>18</v>
      </c>
      <c r="N11" s="11" t="str">
        <f>SUM(N10:N10)</f>
      </c>
      <c r="O11" s="8" t="s">
        <v>17</v>
      </c>
      <c r="P11" s="8" t="s">
        <v>18</v>
      </c>
      <c r="Q11" s="10" t="str">
        <f>SUM(Q10:Q10)</f>
      </c>
      <c r="R11" s="9" t="s">
        <v>17</v>
      </c>
      <c r="S11" s="8" t="s">
        <v>18</v>
      </c>
      <c r="T11" s="11" t="str">
        <f>SUM(T10:T10)</f>
      </c>
      <c r="U11" s="8" t="s">
        <v>17</v>
      </c>
      <c r="V11" s="8" t="s">
        <v>18</v>
      </c>
      <c r="W11" s="10" t="str">
        <f>SUM(W10:W10)</f>
      </c>
      <c r="X11" s="9" t="s">
        <v>17</v>
      </c>
      <c r="Y11" s="8" t="s">
        <v>18</v>
      </c>
      <c r="Z11" s="11" t="str">
        <f>SUM(Z10:Z10)</f>
      </c>
      <c r="AA11" s="8" t="s">
        <v>17</v>
      </c>
      <c r="AB11" s="8" t="s">
        <v>18</v>
      </c>
      <c r="AC11" s="10" t="str">
        <f>SUM(AC10:AC10)</f>
      </c>
      <c r="AD11" s="9" t="s">
        <v>17</v>
      </c>
      <c r="AE11" s="8" t="s">
        <v>18</v>
      </c>
      <c r="AF11" s="11" t="str">
        <f>SUM(AF10:AF10)</f>
      </c>
      <c r="AG11" s="8" t="s">
        <v>17</v>
      </c>
      <c r="AH11" s="8" t="s">
        <v>18</v>
      </c>
      <c r="AI11" s="10" t="str">
        <f>SUM(AI10:AI10)</f>
      </c>
      <c r="AJ11" s="9" t="s">
        <v>17</v>
      </c>
      <c r="AK11" s="8" t="s">
        <v>18</v>
      </c>
      <c r="AL11" s="11" t="str">
        <f>SUM(AL10:AL10)</f>
      </c>
    </row>
    <row r="12" ht="12.75" customHeight="true">
      <c r="A12" s="4"/>
      <c r="B12" s="5" t="s">
        <v>36</v>
      </c>
      <c r="C12" s="7" t="s">
        <v>35</v>
      </c>
      <c r="D12" s="14">
        <v>46023</v>
      </c>
      <c r="E12" s="13">
        <v>120</v>
      </c>
      <c r="F12" s="7" t="s">
        <v>35</v>
      </c>
      <c r="G12" s="14">
        <v>46056</v>
      </c>
      <c r="H12" s="13">
        <v>120</v>
      </c>
      <c r="I12" s="7"/>
      <c r="J12" s="14"/>
      <c r="K12" s="13"/>
      <c r="L12" s="7"/>
      <c r="M12" s="14"/>
      <c r="N12" s="13"/>
      <c r="O12" s="7"/>
      <c r="P12" s="14"/>
      <c r="Q12" s="13"/>
      <c r="R12" s="7"/>
      <c r="S12" s="14"/>
      <c r="T12" s="13"/>
      <c r="U12" s="7"/>
      <c r="V12" s="14"/>
      <c r="W12" s="13"/>
      <c r="X12" s="7"/>
      <c r="Y12" s="14"/>
      <c r="Z12" s="13"/>
      <c r="AA12" s="7"/>
      <c r="AB12" s="14"/>
      <c r="AC12" s="13"/>
      <c r="AD12" s="7"/>
      <c r="AE12" s="14"/>
      <c r="AF12" s="13"/>
      <c r="AG12" s="7"/>
      <c r="AH12" s="14"/>
      <c r="AI12" s="13"/>
      <c r="AJ12" s="7"/>
      <c r="AK12" s="14"/>
      <c r="AL12" s="13"/>
    </row>
    <row r="13" ht="12.75" customHeight="true">
      <c r="A13" s="4"/>
      <c r="B13" s="5"/>
      <c r="C13" s="8" t="s">
        <v>17</v>
      </c>
      <c r="D13" s="8" t="s">
        <v>18</v>
      </c>
      <c r="E13" s="10" t="str">
        <f>SUM(E12:E12)</f>
      </c>
      <c r="F13" s="9" t="s">
        <v>17</v>
      </c>
      <c r="G13" s="8" t="s">
        <v>18</v>
      </c>
      <c r="H13" s="11" t="str">
        <f>SUM(H12:H12)</f>
      </c>
      <c r="I13" s="8" t="s">
        <v>17</v>
      </c>
      <c r="J13" s="8" t="s">
        <v>18</v>
      </c>
      <c r="K13" s="10" t="str">
        <f>SUM(K12:K12)</f>
      </c>
      <c r="L13" s="9" t="s">
        <v>17</v>
      </c>
      <c r="M13" s="8" t="s">
        <v>18</v>
      </c>
      <c r="N13" s="11" t="str">
        <f>SUM(N12:N12)</f>
      </c>
      <c r="O13" s="8" t="s">
        <v>17</v>
      </c>
      <c r="P13" s="8" t="s">
        <v>18</v>
      </c>
      <c r="Q13" s="10" t="str">
        <f>SUM(Q12:Q12)</f>
      </c>
      <c r="R13" s="9" t="s">
        <v>17</v>
      </c>
      <c r="S13" s="8" t="s">
        <v>18</v>
      </c>
      <c r="T13" s="11" t="str">
        <f>SUM(T12:T12)</f>
      </c>
      <c r="U13" s="8" t="s">
        <v>17</v>
      </c>
      <c r="V13" s="8" t="s">
        <v>18</v>
      </c>
      <c r="W13" s="10" t="str">
        <f>SUM(W12:W12)</f>
      </c>
      <c r="X13" s="9" t="s">
        <v>17</v>
      </c>
      <c r="Y13" s="8" t="s">
        <v>18</v>
      </c>
      <c r="Z13" s="11" t="str">
        <f>SUM(Z12:Z12)</f>
      </c>
      <c r="AA13" s="8" t="s">
        <v>17</v>
      </c>
      <c r="AB13" s="8" t="s">
        <v>18</v>
      </c>
      <c r="AC13" s="10" t="str">
        <f>SUM(AC12:AC12)</f>
      </c>
      <c r="AD13" s="9" t="s">
        <v>17</v>
      </c>
      <c r="AE13" s="8" t="s">
        <v>18</v>
      </c>
      <c r="AF13" s="11" t="str">
        <f>SUM(AF12:AF12)</f>
      </c>
      <c r="AG13" s="8" t="s">
        <v>17</v>
      </c>
      <c r="AH13" s="8" t="s">
        <v>18</v>
      </c>
      <c r="AI13" s="10" t="str">
        <f>SUM(AI12:AI12)</f>
      </c>
      <c r="AJ13" s="9" t="s">
        <v>17</v>
      </c>
      <c r="AK13" s="8" t="s">
        <v>18</v>
      </c>
      <c r="AL13" s="11" t="str">
        <f>SUM(AL12:AL12)</f>
      </c>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row>
    <row r="17" ht="12.75" customHeight="true">
      <c r="A17" s="4" t="s">
        <v>40</v>
      </c>
      <c r="B17" s="5" t="s">
        <v>39</v>
      </c>
      <c r="C17" s="7" t="s">
        <v>38</v>
      </c>
      <c r="D17" s="14">
        <v>46023</v>
      </c>
      <c r="E17" s="13">
        <v>100</v>
      </c>
      <c r="F17" s="7" t="s">
        <v>38</v>
      </c>
      <c r="G17" s="14">
        <v>46054</v>
      </c>
      <c r="H17" s="13">
        <v>100</v>
      </c>
      <c r="I17" s="7"/>
      <c r="J17" s="14"/>
      <c r="K17" s="13"/>
      <c r="L17" s="7"/>
      <c r="M17" s="14"/>
      <c r="N17" s="13"/>
      <c r="O17" s="7"/>
      <c r="P17" s="14"/>
      <c r="Q17" s="13"/>
      <c r="R17" s="7"/>
      <c r="S17" s="14"/>
      <c r="T17" s="13"/>
      <c r="U17" s="7"/>
      <c r="V17" s="14"/>
      <c r="W17" s="13"/>
      <c r="X17" s="7"/>
      <c r="Y17" s="14"/>
      <c r="Z17" s="13"/>
      <c r="AA17" s="7"/>
      <c r="AB17" s="14"/>
      <c r="AC17" s="13"/>
      <c r="AD17" s="7"/>
      <c r="AE17" s="14"/>
      <c r="AF17" s="13"/>
      <c r="AG17" s="7"/>
      <c r="AH17" s="14"/>
      <c r="AI17" s="13"/>
      <c r="AJ17" s="7"/>
      <c r="AK17" s="14"/>
      <c r="AL17" s="13"/>
    </row>
    <row r="18" ht="12.75" customHeight="true">
      <c r="A18" s="4"/>
      <c r="B18" s="5"/>
      <c r="C18" s="8" t="s">
        <v>17</v>
      </c>
      <c r="D18" s="8" t="s">
        <v>18</v>
      </c>
      <c r="E18" s="10" t="str">
        <f>SUM(E17:E17)</f>
      </c>
      <c r="F18" s="9" t="s">
        <v>17</v>
      </c>
      <c r="G18" s="8" t="s">
        <v>18</v>
      </c>
      <c r="H18" s="11" t="str">
        <f>SUM(H17:H17)</f>
      </c>
      <c r="I18" s="8" t="s">
        <v>17</v>
      </c>
      <c r="J18" s="8" t="s">
        <v>18</v>
      </c>
      <c r="K18" s="10" t="str">
        <f>SUM(K17:K17)</f>
      </c>
      <c r="L18" s="9" t="s">
        <v>17</v>
      </c>
      <c r="M18" s="8" t="s">
        <v>18</v>
      </c>
      <c r="N18" s="11" t="str">
        <f>SUM(N17:N17)</f>
      </c>
      <c r="O18" s="8" t="s">
        <v>17</v>
      </c>
      <c r="P18" s="8" t="s">
        <v>18</v>
      </c>
      <c r="Q18" s="10" t="str">
        <f>SUM(Q17:Q17)</f>
      </c>
      <c r="R18" s="9" t="s">
        <v>17</v>
      </c>
      <c r="S18" s="8" t="s">
        <v>18</v>
      </c>
      <c r="T18" s="11" t="str">
        <f>SUM(T17:T17)</f>
      </c>
      <c r="U18" s="8" t="s">
        <v>17</v>
      </c>
      <c r="V18" s="8" t="s">
        <v>18</v>
      </c>
      <c r="W18" s="10" t="str">
        <f>SUM(W17:W17)</f>
      </c>
      <c r="X18" s="9" t="s">
        <v>17</v>
      </c>
      <c r="Y18" s="8" t="s">
        <v>18</v>
      </c>
      <c r="Z18" s="11" t="str">
        <f>SUM(Z17:Z17)</f>
      </c>
      <c r="AA18" s="8" t="s">
        <v>17</v>
      </c>
      <c r="AB18" s="8" t="s">
        <v>18</v>
      </c>
      <c r="AC18" s="10" t="str">
        <f>SUM(AC17:AC17)</f>
      </c>
      <c r="AD18" s="9" t="s">
        <v>17</v>
      </c>
      <c r="AE18" s="8" t="s">
        <v>18</v>
      </c>
      <c r="AF18" s="11" t="str">
        <f>SUM(AF17:AF17)</f>
      </c>
      <c r="AG18" s="8" t="s">
        <v>17</v>
      </c>
      <c r="AH18" s="8" t="s">
        <v>18</v>
      </c>
      <c r="AI18" s="10" t="str">
        <f>SUM(AI17:AI17)</f>
      </c>
      <c r="AJ18" s="9" t="s">
        <v>17</v>
      </c>
      <c r="AK18" s="8" t="s">
        <v>18</v>
      </c>
      <c r="AL18" s="11" t="str">
        <f>SUM(AL17:AL17)</f>
      </c>
    </row>
  </sheetData>
  <mergeCells count="21">
    <mergeCell ref="A1:B2"/>
    <mergeCell ref="C1:E1"/>
    <mergeCell ref="F1:H1"/>
    <mergeCell ref="I1:K1"/>
    <mergeCell ref="L1:N1"/>
    <mergeCell ref="O1:Q1"/>
    <mergeCell ref="R1:T1"/>
    <mergeCell ref="U1:W1"/>
    <mergeCell ref="X1:Z1"/>
    <mergeCell ref="AA1:AC1"/>
    <mergeCell ref="AD1:AF1"/>
    <mergeCell ref="AG1:AI1"/>
    <mergeCell ref="AJ1:AL1"/>
    <mergeCell ref="B3:B4"/>
    <mergeCell ref="B5:B6"/>
    <mergeCell ref="A3:A6"/>
    <mergeCell ref="B10:B11"/>
    <mergeCell ref="B12:B13"/>
    <mergeCell ref="A10:A13"/>
    <mergeCell ref="B17:B18"/>
    <mergeCell ref="A17:A18"/>
  </mergeCells>
</worksheet>
</file>

<file path=xl/worksheets/sheet5.xml><?xml version="1.0" encoding="utf-8"?>
<worksheet xmlns="http://schemas.openxmlformats.org/spreadsheetml/2006/main">
  <dimension ref="A1"/>
  <sheetViews>
    <sheetView workbookViewId="0">
      <pane activePane="bottomRight" state="frozen" topLeftCell="C3" xSplit="2" ySplit="2"/>
    </sheetView>
  </sheetViews>
  <cols>
    <col customWidth="true" max="1" min="1" width="20.57"/>
    <col customWidth="true" max="2" min="2" width="15.71"/>
    <col customWidth="true" max="3" min="3" width="14.29"/>
    <col customWidth="true" max="4" min="4" width="8"/>
    <col customWidth="true" max="5" min="5" width="12.14"/>
    <col customWidth="true" max="6" min="6" width="14.29"/>
    <col customWidth="true" max="7" min="7" width="8"/>
    <col customWidth="true" max="8" min="8" width="12.14"/>
    <col customWidth="true" max="9" min="9" width="14.29"/>
    <col customWidth="true" max="10" min="10" width="8"/>
    <col customWidth="true" max="11" min="11" width="12.14"/>
    <col customWidth="true" max="12" min="12" width="14.29"/>
    <col customWidth="true" max="13" min="13" width="8"/>
    <col customWidth="true" max="14" min="14" width="12.14"/>
    <col customWidth="true" max="15" min="15" width="14.29"/>
    <col customWidth="true" max="16" min="16" width="8"/>
    <col customWidth="true" max="17" min="17" width="12.14"/>
    <col customWidth="true" max="18" min="18" width="14.29"/>
    <col customWidth="true" max="19" min="19" width="8"/>
    <col customWidth="true" max="20" min="20" width="12.14"/>
    <col customWidth="true" max="21" min="21" width="14.29"/>
    <col customWidth="true" max="22" min="22" width="8"/>
    <col customWidth="true" max="23" min="23" width="12.14"/>
    <col customWidth="true" max="24" min="24" width="14.29"/>
    <col customWidth="true" max="25" min="25" width="8"/>
    <col customWidth="true" max="26" min="26" width="12.14"/>
    <col customWidth="true" max="27" min="27" width="14.29"/>
    <col customWidth="true" max="28" min="28" width="8"/>
    <col customWidth="true" max="29" min="29" width="12.14"/>
    <col customWidth="true" max="30" min="30" width="14.29"/>
    <col customWidth="true" max="31" min="31" width="8"/>
    <col customWidth="true" max="32" min="32" width="12.14"/>
    <col customWidth="true" max="33" min="33" width="14.29"/>
    <col customWidth="true" max="34" min="34" width="8"/>
    <col customWidth="true" max="35" min="35" width="12.14"/>
    <col customWidth="true" max="36" min="36" width="14.29"/>
    <col customWidth="true" max="37" min="37" width="8"/>
    <col customWidth="true" max="38" min="38" width="12.14"/>
  </cols>
  <sheetData>
    <row r="1" ht="18" customHeight="true">
      <c r="A1" s="1" t="s">
        <v>0</v>
      </c>
      <c r="C1" s="2" t="s">
        <v>1</v>
      </c>
      <c r="F1" s="2" t="s">
        <v>5</v>
      </c>
      <c r="I1" s="2" t="s">
        <v>6</v>
      </c>
      <c r="L1" s="2" t="s">
        <v>7</v>
      </c>
      <c r="O1" s="2" t="s">
        <v>8</v>
      </c>
      <c r="R1" s="2" t="s">
        <v>9</v>
      </c>
      <c r="U1" s="2" t="s">
        <v>10</v>
      </c>
      <c r="X1" s="2" t="s">
        <v>11</v>
      </c>
      <c r="AA1" s="2" t="s">
        <v>12</v>
      </c>
      <c r="AD1" s="2" t="s">
        <v>13</v>
      </c>
      <c r="AG1" s="2" t="s">
        <v>14</v>
      </c>
      <c r="AJ1" s="2" t="s">
        <v>15</v>
      </c>
    </row>
    <row r="2" ht="15" customHeight="true">
      <c r="C2" s="3" t="s">
        <v>2</v>
      </c>
      <c r="D2" s="3" t="s">
        <v>3</v>
      </c>
      <c r="E2" s="3" t="s">
        <v>4</v>
      </c>
      <c r="F2" s="3" t="s">
        <v>2</v>
      </c>
      <c r="G2" s="3" t="s">
        <v>3</v>
      </c>
      <c r="H2" s="3" t="s">
        <v>4</v>
      </c>
      <c r="I2" s="3" t="s">
        <v>2</v>
      </c>
      <c r="J2" s="3" t="s">
        <v>3</v>
      </c>
      <c r="K2" s="3" t="s">
        <v>4</v>
      </c>
      <c r="L2" s="3" t="s">
        <v>2</v>
      </c>
      <c r="M2" s="3" t="s">
        <v>3</v>
      </c>
      <c r="N2" s="3" t="s">
        <v>4</v>
      </c>
      <c r="O2" s="3" t="s">
        <v>2</v>
      </c>
      <c r="P2" s="3" t="s">
        <v>3</v>
      </c>
      <c r="Q2" s="3" t="s">
        <v>4</v>
      </c>
      <c r="R2" s="3" t="s">
        <v>2</v>
      </c>
      <c r="S2" s="3" t="s">
        <v>3</v>
      </c>
      <c r="T2" s="3" t="s">
        <v>4</v>
      </c>
      <c r="U2" s="3" t="s">
        <v>2</v>
      </c>
      <c r="V2" s="3" t="s">
        <v>3</v>
      </c>
      <c r="W2" s="3" t="s">
        <v>4</v>
      </c>
      <c r="X2" s="3" t="s">
        <v>2</v>
      </c>
      <c r="Y2" s="3" t="s">
        <v>3</v>
      </c>
      <c r="Z2" s="3" t="s">
        <v>4</v>
      </c>
      <c r="AA2" s="3" t="s">
        <v>2</v>
      </c>
      <c r="AB2" s="3" t="s">
        <v>3</v>
      </c>
      <c r="AC2" s="3" t="s">
        <v>4</v>
      </c>
      <c r="AD2" s="3" t="s">
        <v>2</v>
      </c>
      <c r="AE2" s="3" t="s">
        <v>3</v>
      </c>
      <c r="AF2" s="3" t="s">
        <v>4</v>
      </c>
      <c r="AG2" s="3" t="s">
        <v>2</v>
      </c>
      <c r="AH2" s="3" t="s">
        <v>3</v>
      </c>
      <c r="AI2" s="3" t="s">
        <v>4</v>
      </c>
      <c r="AJ2" s="3" t="s">
        <v>2</v>
      </c>
      <c r="AK2" s="3" t="s">
        <v>3</v>
      </c>
      <c r="AL2" s="3" t="s">
        <v>4</v>
      </c>
    </row>
    <row r="3" ht="12.75" customHeight="true">
      <c r="A3" s="4" t="s">
        <v>44</v>
      </c>
      <c r="B3" s="5" t="s">
        <v>41</v>
      </c>
      <c r="C3" s="7" t="s">
        <v>33</v>
      </c>
      <c r="D3" s="14">
        <v>46032</v>
      </c>
      <c r="E3" s="13">
        <v>300</v>
      </c>
      <c r="F3" s="7" t="s">
        <v>33</v>
      </c>
      <c r="G3" s="14">
        <v>46073</v>
      </c>
      <c r="H3" s="13">
        <v>320</v>
      </c>
      <c r="I3" s="7"/>
      <c r="J3" s="14"/>
      <c r="K3" s="13"/>
      <c r="L3" s="7"/>
      <c r="M3" s="14"/>
      <c r="N3" s="13"/>
      <c r="O3" s="7"/>
      <c r="P3" s="14"/>
      <c r="Q3" s="13"/>
      <c r="R3" s="7"/>
      <c r="S3" s="14"/>
      <c r="T3" s="13"/>
      <c r="U3" s="7"/>
      <c r="V3" s="14"/>
      <c r="W3" s="13"/>
      <c r="X3" s="7"/>
      <c r="Y3" s="14"/>
      <c r="Z3" s="13"/>
      <c r="AA3" s="7"/>
      <c r="AB3" s="14"/>
      <c r="AC3" s="13"/>
      <c r="AD3" s="7"/>
      <c r="AE3" s="14"/>
      <c r="AF3" s="13"/>
      <c r="AG3" s="7"/>
      <c r="AH3" s="14"/>
      <c r="AI3" s="13"/>
      <c r="AJ3" s="7"/>
      <c r="AK3" s="14"/>
      <c r="AL3" s="13"/>
    </row>
    <row r="4" ht="12.75" customHeight="true">
      <c r="A4" s="4"/>
      <c r="B4" s="5"/>
      <c r="C4" s="8" t="s">
        <v>17</v>
      </c>
      <c r="D4" s="8" t="s">
        <v>18</v>
      </c>
      <c r="E4" s="10" t="str">
        <f>SUM(E3:E3)</f>
      </c>
      <c r="F4" s="9" t="s">
        <v>17</v>
      </c>
      <c r="G4" s="8" t="s">
        <v>18</v>
      </c>
      <c r="H4" s="11" t="str">
        <f>SUM(H3:H3)</f>
      </c>
      <c r="I4" s="8" t="s">
        <v>17</v>
      </c>
      <c r="J4" s="8" t="s">
        <v>18</v>
      </c>
      <c r="K4" s="10" t="str">
        <f>SUM(K3:K3)</f>
      </c>
      <c r="L4" s="9" t="s">
        <v>17</v>
      </c>
      <c r="M4" s="8" t="s">
        <v>18</v>
      </c>
      <c r="N4" s="11" t="str">
        <f>SUM(N3:N3)</f>
      </c>
      <c r="O4" s="8" t="s">
        <v>17</v>
      </c>
      <c r="P4" s="8" t="s">
        <v>18</v>
      </c>
      <c r="Q4" s="10" t="str">
        <f>SUM(Q3:Q3)</f>
      </c>
      <c r="R4" s="9" t="s">
        <v>17</v>
      </c>
      <c r="S4" s="8" t="s">
        <v>18</v>
      </c>
      <c r="T4" s="11" t="str">
        <f>SUM(T3:T3)</f>
      </c>
      <c r="U4" s="8" t="s">
        <v>17</v>
      </c>
      <c r="V4" s="8" t="s">
        <v>18</v>
      </c>
      <c r="W4" s="10" t="str">
        <f>SUM(W3:W3)</f>
      </c>
      <c r="X4" s="9" t="s">
        <v>17</v>
      </c>
      <c r="Y4" s="8" t="s">
        <v>18</v>
      </c>
      <c r="Z4" s="11" t="str">
        <f>SUM(Z3:Z3)</f>
      </c>
      <c r="AA4" s="8" t="s">
        <v>17</v>
      </c>
      <c r="AB4" s="8" t="s">
        <v>18</v>
      </c>
      <c r="AC4" s="10" t="str">
        <f>SUM(AC3:AC3)</f>
      </c>
      <c r="AD4" s="9" t="s">
        <v>17</v>
      </c>
      <c r="AE4" s="8" t="s">
        <v>18</v>
      </c>
      <c r="AF4" s="11" t="str">
        <f>SUM(AF3:AF3)</f>
      </c>
      <c r="AG4" s="8" t="s">
        <v>17</v>
      </c>
      <c r="AH4" s="8" t="s">
        <v>18</v>
      </c>
      <c r="AI4" s="10" t="str">
        <f>SUM(AI3:AI3)</f>
      </c>
      <c r="AJ4" s="9" t="s">
        <v>17</v>
      </c>
      <c r="AK4" s="8" t="s">
        <v>18</v>
      </c>
      <c r="AL4" s="11" t="str">
        <f>SUM(AL3:AL3)</f>
      </c>
    </row>
    <row r="5" ht="12.75" customHeight="true">
      <c r="A5" s="4"/>
      <c r="B5" s="5" t="s">
        <v>43</v>
      </c>
      <c r="C5" s="7" t="s">
        <v>42</v>
      </c>
      <c r="D5" s="14">
        <v>46033</v>
      </c>
      <c r="E5" s="13">
        <v>250</v>
      </c>
      <c r="F5" s="7" t="s">
        <v>42</v>
      </c>
      <c r="G5" s="14">
        <v>46064</v>
      </c>
      <c r="H5" s="13">
        <v>250</v>
      </c>
      <c r="I5" s="7"/>
      <c r="J5" s="14"/>
      <c r="K5" s="13"/>
      <c r="L5" s="7"/>
      <c r="M5" s="14"/>
      <c r="N5" s="13"/>
      <c r="O5" s="7"/>
      <c r="P5" s="14"/>
      <c r="Q5" s="13"/>
      <c r="R5" s="7"/>
      <c r="S5" s="14"/>
      <c r="T5" s="13"/>
      <c r="U5" s="7"/>
      <c r="V5" s="14"/>
      <c r="W5" s="13"/>
      <c r="X5" s="7"/>
      <c r="Y5" s="14"/>
      <c r="Z5" s="13"/>
      <c r="AA5" s="7"/>
      <c r="AB5" s="14"/>
      <c r="AC5" s="13"/>
      <c r="AD5" s="7"/>
      <c r="AE5" s="14"/>
      <c r="AF5" s="13"/>
      <c r="AG5" s="7"/>
      <c r="AH5" s="14"/>
      <c r="AI5" s="13"/>
      <c r="AJ5" s="7"/>
      <c r="AK5" s="14"/>
      <c r="AL5" s="13"/>
    </row>
    <row r="6" ht="12.75" customHeight="true">
      <c r="A6" s="4"/>
      <c r="B6" s="5"/>
      <c r="C6" s="8" t="s">
        <v>17</v>
      </c>
      <c r="D6" s="8" t="s">
        <v>18</v>
      </c>
      <c r="E6" s="10" t="str">
        <f>SUM(E5:E5)</f>
      </c>
      <c r="F6" s="9" t="s">
        <v>17</v>
      </c>
      <c r="G6" s="8" t="s">
        <v>18</v>
      </c>
      <c r="H6" s="11" t="str">
        <f>SUM(H5:H5)</f>
      </c>
      <c r="I6" s="8" t="s">
        <v>17</v>
      </c>
      <c r="J6" s="8" t="s">
        <v>18</v>
      </c>
      <c r="K6" s="10" t="str">
        <f>SUM(K5:K5)</f>
      </c>
      <c r="L6" s="9" t="s">
        <v>17</v>
      </c>
      <c r="M6" s="8" t="s">
        <v>18</v>
      </c>
      <c r="N6" s="11" t="str">
        <f>SUM(N5:N5)</f>
      </c>
      <c r="O6" s="8" t="s">
        <v>17</v>
      </c>
      <c r="P6" s="8" t="s">
        <v>18</v>
      </c>
      <c r="Q6" s="10" t="str">
        <f>SUM(Q5:Q5)</f>
      </c>
      <c r="R6" s="9" t="s">
        <v>17</v>
      </c>
      <c r="S6" s="8" t="s">
        <v>18</v>
      </c>
      <c r="T6" s="11" t="str">
        <f>SUM(T5:T5)</f>
      </c>
      <c r="U6" s="8" t="s">
        <v>17</v>
      </c>
      <c r="V6" s="8" t="s">
        <v>18</v>
      </c>
      <c r="W6" s="10" t="str">
        <f>SUM(W5:W5)</f>
      </c>
      <c r="X6" s="9" t="s">
        <v>17</v>
      </c>
      <c r="Y6" s="8" t="s">
        <v>18</v>
      </c>
      <c r="Z6" s="11" t="str">
        <f>SUM(Z5:Z5)</f>
      </c>
      <c r="AA6" s="8" t="s">
        <v>17</v>
      </c>
      <c r="AB6" s="8" t="s">
        <v>18</v>
      </c>
      <c r="AC6" s="10" t="str">
        <f>SUM(AC5:AC5)</f>
      </c>
      <c r="AD6" s="9" t="s">
        <v>17</v>
      </c>
      <c r="AE6" s="8" t="s">
        <v>18</v>
      </c>
      <c r="AF6" s="11" t="str">
        <f>SUM(AF5:AF5)</f>
      </c>
      <c r="AG6" s="8" t="s">
        <v>17</v>
      </c>
      <c r="AH6" s="8" t="s">
        <v>18</v>
      </c>
      <c r="AI6" s="10" t="str">
        <f>SUM(AI5:AI5)</f>
      </c>
      <c r="AJ6" s="9" t="s">
        <v>17</v>
      </c>
      <c r="AK6" s="8" t="s">
        <v>18</v>
      </c>
      <c r="AL6" s="11" t="str">
        <f>SUM(AL5:AL5)</f>
      </c>
    </row>
    <row r="8">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row>
    <row r="10" ht="12.75" customHeight="true">
      <c r="A10" s="4" t="s">
        <v>50</v>
      </c>
      <c r="B10" s="5" t="s">
        <v>47</v>
      </c>
      <c r="C10" s="7" t="s">
        <v>45</v>
      </c>
      <c r="D10" s="14">
        <v>46031</v>
      </c>
      <c r="E10" s="13">
        <v>480</v>
      </c>
      <c r="F10" s="7" t="s">
        <v>46</v>
      </c>
      <c r="G10" s="14">
        <v>46062</v>
      </c>
      <c r="H10" s="13">
        <v>600</v>
      </c>
      <c r="I10" s="7"/>
      <c r="J10" s="14"/>
      <c r="K10" s="13"/>
      <c r="L10" s="7"/>
      <c r="M10" s="14"/>
      <c r="N10" s="13"/>
      <c r="O10" s="7"/>
      <c r="P10" s="14"/>
      <c r="Q10" s="13"/>
      <c r="R10" s="7"/>
      <c r="S10" s="14"/>
      <c r="T10" s="13"/>
      <c r="U10" s="7"/>
      <c r="V10" s="14"/>
      <c r="W10" s="13"/>
      <c r="X10" s="7"/>
      <c r="Y10" s="14"/>
      <c r="Z10" s="13"/>
      <c r="AA10" s="7"/>
      <c r="AB10" s="14"/>
      <c r="AC10" s="13"/>
      <c r="AD10" s="7"/>
      <c r="AE10" s="14"/>
      <c r="AF10" s="13"/>
      <c r="AG10" s="7"/>
      <c r="AH10" s="14"/>
      <c r="AI10" s="13"/>
      <c r="AJ10" s="7"/>
      <c r="AK10" s="14"/>
      <c r="AL10" s="13"/>
    </row>
    <row r="11" ht="12.75" customHeight="true">
      <c r="A11" s="4"/>
      <c r="B11" s="5"/>
      <c r="C11" s="8" t="s">
        <v>17</v>
      </c>
      <c r="D11" s="8" t="s">
        <v>18</v>
      </c>
      <c r="E11" s="10" t="str">
        <f>SUM(E10:E10)</f>
      </c>
      <c r="F11" s="9" t="s">
        <v>17</v>
      </c>
      <c r="G11" s="8" t="s">
        <v>18</v>
      </c>
      <c r="H11" s="11" t="str">
        <f>SUM(H10:H10)</f>
      </c>
      <c r="I11" s="8" t="s">
        <v>17</v>
      </c>
      <c r="J11" s="8" t="s">
        <v>18</v>
      </c>
      <c r="K11" s="10" t="str">
        <f>SUM(K10:K10)</f>
      </c>
      <c r="L11" s="9" t="s">
        <v>17</v>
      </c>
      <c r="M11" s="8" t="s">
        <v>18</v>
      </c>
      <c r="N11" s="11" t="str">
        <f>SUM(N10:N10)</f>
      </c>
      <c r="O11" s="8" t="s">
        <v>17</v>
      </c>
      <c r="P11" s="8" t="s">
        <v>18</v>
      </c>
      <c r="Q11" s="10" t="str">
        <f>SUM(Q10:Q10)</f>
      </c>
      <c r="R11" s="9" t="s">
        <v>17</v>
      </c>
      <c r="S11" s="8" t="s">
        <v>18</v>
      </c>
      <c r="T11" s="11" t="str">
        <f>SUM(T10:T10)</f>
      </c>
      <c r="U11" s="8" t="s">
        <v>17</v>
      </c>
      <c r="V11" s="8" t="s">
        <v>18</v>
      </c>
      <c r="W11" s="10" t="str">
        <f>SUM(W10:W10)</f>
      </c>
      <c r="X11" s="9" t="s">
        <v>17</v>
      </c>
      <c r="Y11" s="8" t="s">
        <v>18</v>
      </c>
      <c r="Z11" s="11" t="str">
        <f>SUM(Z10:Z10)</f>
      </c>
      <c r="AA11" s="8" t="s">
        <v>17</v>
      </c>
      <c r="AB11" s="8" t="s">
        <v>18</v>
      </c>
      <c r="AC11" s="10" t="str">
        <f>SUM(AC10:AC10)</f>
      </c>
      <c r="AD11" s="9" t="s">
        <v>17</v>
      </c>
      <c r="AE11" s="8" t="s">
        <v>18</v>
      </c>
      <c r="AF11" s="11" t="str">
        <f>SUM(AF10:AF10)</f>
      </c>
      <c r="AG11" s="8" t="s">
        <v>17</v>
      </c>
      <c r="AH11" s="8" t="s">
        <v>18</v>
      </c>
      <c r="AI11" s="10" t="str">
        <f>SUM(AI10:AI10)</f>
      </c>
      <c r="AJ11" s="9" t="s">
        <v>17</v>
      </c>
      <c r="AK11" s="8" t="s">
        <v>18</v>
      </c>
      <c r="AL11" s="11" t="str">
        <f>SUM(AL10:AL10)</f>
      </c>
    </row>
    <row r="12" ht="12.75" customHeight="true">
      <c r="A12" s="4"/>
      <c r="B12" s="5" t="s">
        <v>49</v>
      </c>
      <c r="C12" s="7" t="s">
        <v>48</v>
      </c>
      <c r="D12" s="14">
        <v>46036</v>
      </c>
      <c r="E12" s="13">
        <v>350</v>
      </c>
      <c r="F12" s="7" t="s">
        <v>48</v>
      </c>
      <c r="G12" s="14">
        <v>46067</v>
      </c>
      <c r="H12" s="13">
        <v>350</v>
      </c>
      <c r="I12" s="7"/>
      <c r="J12" s="14"/>
      <c r="K12" s="13"/>
      <c r="L12" s="7"/>
      <c r="M12" s="14"/>
      <c r="N12" s="13"/>
      <c r="O12" s="7"/>
      <c r="P12" s="14"/>
      <c r="Q12" s="13"/>
      <c r="R12" s="7"/>
      <c r="S12" s="14"/>
      <c r="T12" s="13"/>
      <c r="U12" s="7"/>
      <c r="V12" s="14"/>
      <c r="W12" s="13"/>
      <c r="X12" s="7"/>
      <c r="Y12" s="14"/>
      <c r="Z12" s="13"/>
      <c r="AA12" s="7"/>
      <c r="AB12" s="14"/>
      <c r="AC12" s="13"/>
      <c r="AD12" s="7"/>
      <c r="AE12" s="14"/>
      <c r="AF12" s="13"/>
      <c r="AG12" s="7"/>
      <c r="AH12" s="14"/>
      <c r="AI12" s="13"/>
      <c r="AJ12" s="7"/>
      <c r="AK12" s="14"/>
      <c r="AL12" s="13"/>
    </row>
    <row r="13" ht="12.75" customHeight="true">
      <c r="A13" s="4"/>
      <c r="B13" s="5"/>
      <c r="C13" s="8" t="s">
        <v>17</v>
      </c>
      <c r="D13" s="8" t="s">
        <v>18</v>
      </c>
      <c r="E13" s="10" t="str">
        <f>SUM(E12:E12)</f>
      </c>
      <c r="F13" s="9" t="s">
        <v>17</v>
      </c>
      <c r="G13" s="8" t="s">
        <v>18</v>
      </c>
      <c r="H13" s="11" t="str">
        <f>SUM(H12:H12)</f>
      </c>
      <c r="I13" s="8" t="s">
        <v>17</v>
      </c>
      <c r="J13" s="8" t="s">
        <v>18</v>
      </c>
      <c r="K13" s="10" t="str">
        <f>SUM(K12:K12)</f>
      </c>
      <c r="L13" s="9" t="s">
        <v>17</v>
      </c>
      <c r="M13" s="8" t="s">
        <v>18</v>
      </c>
      <c r="N13" s="11" t="str">
        <f>SUM(N12:N12)</f>
      </c>
      <c r="O13" s="8" t="s">
        <v>17</v>
      </c>
      <c r="P13" s="8" t="s">
        <v>18</v>
      </c>
      <c r="Q13" s="10" t="str">
        <f>SUM(Q12:Q12)</f>
      </c>
      <c r="R13" s="9" t="s">
        <v>17</v>
      </c>
      <c r="S13" s="8" t="s">
        <v>18</v>
      </c>
      <c r="T13" s="11" t="str">
        <f>SUM(T12:T12)</f>
      </c>
      <c r="U13" s="8" t="s">
        <v>17</v>
      </c>
      <c r="V13" s="8" t="s">
        <v>18</v>
      </c>
      <c r="W13" s="10" t="str">
        <f>SUM(W12:W12)</f>
      </c>
      <c r="X13" s="9" t="s">
        <v>17</v>
      </c>
      <c r="Y13" s="8" t="s">
        <v>18</v>
      </c>
      <c r="Z13" s="11" t="str">
        <f>SUM(Z12:Z12)</f>
      </c>
      <c r="AA13" s="8" t="s">
        <v>17</v>
      </c>
      <c r="AB13" s="8" t="s">
        <v>18</v>
      </c>
      <c r="AC13" s="10" t="str">
        <f>SUM(AC12:AC12)</f>
      </c>
      <c r="AD13" s="9" t="s">
        <v>17</v>
      </c>
      <c r="AE13" s="8" t="s">
        <v>18</v>
      </c>
      <c r="AF13" s="11" t="str">
        <f>SUM(AF12:AF12)</f>
      </c>
      <c r="AG13" s="8" t="s">
        <v>17</v>
      </c>
      <c r="AH13" s="8" t="s">
        <v>18</v>
      </c>
      <c r="AI13" s="10" t="str">
        <f>SUM(AI12:AI12)</f>
      </c>
      <c r="AJ13" s="9" t="s">
        <v>17</v>
      </c>
      <c r="AK13" s="8" t="s">
        <v>18</v>
      </c>
      <c r="AL13" s="11" t="str">
        <f>SUM(AL12:AL12)</f>
      </c>
    </row>
  </sheetData>
  <mergeCells count="19">
    <mergeCell ref="A1:B2"/>
    <mergeCell ref="C1:E1"/>
    <mergeCell ref="F1:H1"/>
    <mergeCell ref="I1:K1"/>
    <mergeCell ref="L1:N1"/>
    <mergeCell ref="O1:Q1"/>
    <mergeCell ref="R1:T1"/>
    <mergeCell ref="U1:W1"/>
    <mergeCell ref="X1:Z1"/>
    <mergeCell ref="AA1:AC1"/>
    <mergeCell ref="AD1:AF1"/>
    <mergeCell ref="AG1:AI1"/>
    <mergeCell ref="AJ1:AL1"/>
    <mergeCell ref="B3:B4"/>
    <mergeCell ref="B5:B6"/>
    <mergeCell ref="A3:A6"/>
    <mergeCell ref="B10:B11"/>
    <mergeCell ref="B12:B13"/>
    <mergeCell ref="A10:A13"/>
  </mergeCells>
</worksheet>
</file>

<file path=xl/worksheets/sheet6.xml><?xml version="1.0" encoding="utf-8"?>
<worksheet xmlns="http://schemas.openxmlformats.org/spreadsheetml/2006/main">
  <dimension ref="A1"/>
  <sheetViews>
    <sheetView workbookViewId="0">
      <pane activePane="bottomRight" state="frozen" topLeftCell="C3" xSplit="2" ySplit="2"/>
    </sheetView>
  </sheetViews>
  <cols>
    <col customWidth="true" max="1" min="1" width="20.57"/>
    <col customWidth="true" max="2" min="2" width="15.71"/>
    <col customWidth="true" max="3" min="3" width="14.29"/>
    <col customWidth="true" max="4" min="4" width="8"/>
    <col customWidth="true" max="5" min="5" width="12.14"/>
    <col customWidth="true" max="6" min="6" width="14.29"/>
    <col customWidth="true" max="7" min="7" width="8"/>
    <col customWidth="true" max="8" min="8" width="12.14"/>
    <col customWidth="true" max="9" min="9" width="14.29"/>
    <col customWidth="true" max="10" min="10" width="8"/>
    <col customWidth="true" max="11" min="11" width="12.14"/>
    <col customWidth="true" max="12" min="12" width="14.29"/>
    <col customWidth="true" max="13" min="13" width="8"/>
    <col customWidth="true" max="14" min="14" width="12.14"/>
    <col customWidth="true" max="15" min="15" width="14.29"/>
    <col customWidth="true" max="16" min="16" width="8"/>
    <col customWidth="true" max="17" min="17" width="12.14"/>
    <col customWidth="true" max="18" min="18" width="14.29"/>
    <col customWidth="true" max="19" min="19" width="8"/>
    <col customWidth="true" max="20" min="20" width="12.14"/>
    <col customWidth="true" max="21" min="21" width="14.29"/>
    <col customWidth="true" max="22" min="22" width="8"/>
    <col customWidth="true" max="23" min="23" width="12.14"/>
    <col customWidth="true" max="24" min="24" width="14.29"/>
    <col customWidth="true" max="25" min="25" width="8"/>
    <col customWidth="true" max="26" min="26" width="12.14"/>
    <col customWidth="true" max="27" min="27" width="14.29"/>
    <col customWidth="true" max="28" min="28" width="8"/>
    <col customWidth="true" max="29" min="29" width="12.14"/>
    <col customWidth="true" max="30" min="30" width="14.29"/>
    <col customWidth="true" max="31" min="31" width="8"/>
    <col customWidth="true" max="32" min="32" width="12.14"/>
    <col customWidth="true" max="33" min="33" width="14.29"/>
    <col customWidth="true" max="34" min="34" width="8"/>
    <col customWidth="true" max="35" min="35" width="12.14"/>
    <col customWidth="true" max="36" min="36" width="14.29"/>
    <col customWidth="true" max="37" min="37" width="8"/>
    <col customWidth="true" max="38" min="38" width="12.14"/>
  </cols>
  <sheetData>
    <row r="1" ht="18" customHeight="true">
      <c r="A1" s="1" t="s">
        <v>0</v>
      </c>
      <c r="C1" s="2" t="s">
        <v>1</v>
      </c>
      <c r="F1" s="2" t="s">
        <v>5</v>
      </c>
      <c r="I1" s="2" t="s">
        <v>6</v>
      </c>
      <c r="L1" s="2" t="s">
        <v>7</v>
      </c>
      <c r="O1" s="2" t="s">
        <v>8</v>
      </c>
      <c r="R1" s="2" t="s">
        <v>9</v>
      </c>
      <c r="U1" s="2" t="s">
        <v>10</v>
      </c>
      <c r="X1" s="2" t="s">
        <v>11</v>
      </c>
      <c r="AA1" s="2" t="s">
        <v>12</v>
      </c>
      <c r="AD1" s="2" t="s">
        <v>13</v>
      </c>
      <c r="AG1" s="2" t="s">
        <v>14</v>
      </c>
      <c r="AJ1" s="2" t="s">
        <v>15</v>
      </c>
    </row>
    <row r="2" ht="15" customHeight="true">
      <c r="C2" s="3" t="s">
        <v>2</v>
      </c>
      <c r="D2" s="3" t="s">
        <v>3</v>
      </c>
      <c r="E2" s="3" t="s">
        <v>4</v>
      </c>
      <c r="F2" s="3" t="s">
        <v>2</v>
      </c>
      <c r="G2" s="3" t="s">
        <v>3</v>
      </c>
      <c r="H2" s="3" t="s">
        <v>4</v>
      </c>
      <c r="I2" s="3" t="s">
        <v>2</v>
      </c>
      <c r="J2" s="3" t="s">
        <v>3</v>
      </c>
      <c r="K2" s="3" t="s">
        <v>4</v>
      </c>
      <c r="L2" s="3" t="s">
        <v>2</v>
      </c>
      <c r="M2" s="3" t="s">
        <v>3</v>
      </c>
      <c r="N2" s="3" t="s">
        <v>4</v>
      </c>
      <c r="O2" s="3" t="s">
        <v>2</v>
      </c>
      <c r="P2" s="3" t="s">
        <v>3</v>
      </c>
      <c r="Q2" s="3" t="s">
        <v>4</v>
      </c>
      <c r="R2" s="3" t="s">
        <v>2</v>
      </c>
      <c r="S2" s="3" t="s">
        <v>3</v>
      </c>
      <c r="T2" s="3" t="s">
        <v>4</v>
      </c>
      <c r="U2" s="3" t="s">
        <v>2</v>
      </c>
      <c r="V2" s="3" t="s">
        <v>3</v>
      </c>
      <c r="W2" s="3" t="s">
        <v>4</v>
      </c>
      <c r="X2" s="3" t="s">
        <v>2</v>
      </c>
      <c r="Y2" s="3" t="s">
        <v>3</v>
      </c>
      <c r="Z2" s="3" t="s">
        <v>4</v>
      </c>
      <c r="AA2" s="3" t="s">
        <v>2</v>
      </c>
      <c r="AB2" s="3" t="s">
        <v>3</v>
      </c>
      <c r="AC2" s="3" t="s">
        <v>4</v>
      </c>
      <c r="AD2" s="3" t="s">
        <v>2</v>
      </c>
      <c r="AE2" s="3" t="s">
        <v>3</v>
      </c>
      <c r="AF2" s="3" t="s">
        <v>4</v>
      </c>
      <c r="AG2" s="3" t="s">
        <v>2</v>
      </c>
      <c r="AH2" s="3" t="s">
        <v>3</v>
      </c>
      <c r="AI2" s="3" t="s">
        <v>4</v>
      </c>
      <c r="AJ2" s="3" t="s">
        <v>2</v>
      </c>
      <c r="AK2" s="3" t="s">
        <v>3</v>
      </c>
      <c r="AL2" s="3" t="s">
        <v>4</v>
      </c>
    </row>
    <row r="3" ht="12.75" customHeight="true">
      <c r="A3" s="4" t="s">
        <v>28</v>
      </c>
      <c r="B3" s="5" t="s">
        <v>53</v>
      </c>
      <c r="C3" s="7" t="s">
        <v>51</v>
      </c>
      <c r="D3" s="14">
        <v>46025</v>
      </c>
      <c r="E3" s="13">
        <v>800</v>
      </c>
      <c r="F3" s="7" t="s">
        <v>52</v>
      </c>
      <c r="G3" s="14">
        <v>46057</v>
      </c>
      <c r="H3" s="13">
        <v>950</v>
      </c>
      <c r="I3" s="7"/>
      <c r="J3" s="14"/>
      <c r="K3" s="13"/>
      <c r="L3" s="7"/>
      <c r="M3" s="14"/>
      <c r="N3" s="13"/>
      <c r="O3" s="7"/>
      <c r="P3" s="14"/>
      <c r="Q3" s="13"/>
      <c r="R3" s="7"/>
      <c r="S3" s="14"/>
      <c r="T3" s="13"/>
      <c r="U3" s="7"/>
      <c r="V3" s="14"/>
      <c r="W3" s="13"/>
      <c r="X3" s="7"/>
      <c r="Y3" s="14"/>
      <c r="Z3" s="13"/>
      <c r="AA3" s="7"/>
      <c r="AB3" s="14"/>
      <c r="AC3" s="13"/>
      <c r="AD3" s="7"/>
      <c r="AE3" s="14"/>
      <c r="AF3" s="13"/>
      <c r="AG3" s="7"/>
      <c r="AH3" s="14"/>
      <c r="AI3" s="13"/>
      <c r="AJ3" s="7"/>
      <c r="AK3" s="14"/>
      <c r="AL3" s="13"/>
    </row>
    <row r="4" ht="12.75" customHeight="true">
      <c r="A4" s="4"/>
      <c r="B4" s="5"/>
      <c r="C4" s="8" t="s">
        <v>17</v>
      </c>
      <c r="D4" s="8" t="s">
        <v>18</v>
      </c>
      <c r="E4" s="10" t="str">
        <f>SUM(E3:E3)</f>
      </c>
      <c r="F4" s="9" t="s">
        <v>17</v>
      </c>
      <c r="G4" s="8" t="s">
        <v>18</v>
      </c>
      <c r="H4" s="11" t="str">
        <f>SUM(H3:H3)</f>
      </c>
      <c r="I4" s="8" t="s">
        <v>17</v>
      </c>
      <c r="J4" s="8" t="s">
        <v>18</v>
      </c>
      <c r="K4" s="10" t="str">
        <f>SUM(K3:K3)</f>
      </c>
      <c r="L4" s="9" t="s">
        <v>17</v>
      </c>
      <c r="M4" s="8" t="s">
        <v>18</v>
      </c>
      <c r="N4" s="11" t="str">
        <f>SUM(N3:N3)</f>
      </c>
      <c r="O4" s="8" t="s">
        <v>17</v>
      </c>
      <c r="P4" s="8" t="s">
        <v>18</v>
      </c>
      <c r="Q4" s="10" t="str">
        <f>SUM(Q3:Q3)</f>
      </c>
      <c r="R4" s="9" t="s">
        <v>17</v>
      </c>
      <c r="S4" s="8" t="s">
        <v>18</v>
      </c>
      <c r="T4" s="11" t="str">
        <f>SUM(T3:T3)</f>
      </c>
      <c r="U4" s="8" t="s">
        <v>17</v>
      </c>
      <c r="V4" s="8" t="s">
        <v>18</v>
      </c>
      <c r="W4" s="10" t="str">
        <f>SUM(W3:W3)</f>
      </c>
      <c r="X4" s="9" t="s">
        <v>17</v>
      </c>
      <c r="Y4" s="8" t="s">
        <v>18</v>
      </c>
      <c r="Z4" s="11" t="str">
        <f>SUM(Z3:Z3)</f>
      </c>
      <c r="AA4" s="8" t="s">
        <v>17</v>
      </c>
      <c r="AB4" s="8" t="s">
        <v>18</v>
      </c>
      <c r="AC4" s="10" t="str">
        <f>SUM(AC3:AC3)</f>
      </c>
      <c r="AD4" s="9" t="s">
        <v>17</v>
      </c>
      <c r="AE4" s="8" t="s">
        <v>18</v>
      </c>
      <c r="AF4" s="11" t="str">
        <f>SUM(AF3:AF3)</f>
      </c>
      <c r="AG4" s="8" t="s">
        <v>17</v>
      </c>
      <c r="AH4" s="8" t="s">
        <v>18</v>
      </c>
      <c r="AI4" s="10" t="str">
        <f>SUM(AI3:AI3)</f>
      </c>
      <c r="AJ4" s="9" t="s">
        <v>17</v>
      </c>
      <c r="AK4" s="8" t="s">
        <v>18</v>
      </c>
      <c r="AL4" s="11" t="str">
        <f>SUM(AL3:AL3)</f>
      </c>
    </row>
    <row r="5" ht="12.75" customHeight="true">
      <c r="A5" s="4"/>
      <c r="B5" s="5" t="s">
        <v>55</v>
      </c>
      <c r="C5" s="7" t="s">
        <v>54</v>
      </c>
      <c r="D5" s="14">
        <v>46029</v>
      </c>
      <c r="E5" s="13">
        <v>99.9</v>
      </c>
      <c r="F5" s="7" t="s">
        <v>54</v>
      </c>
      <c r="G5" s="14">
        <v>46060</v>
      </c>
      <c r="H5" s="13">
        <v>99.9</v>
      </c>
      <c r="I5" s="7"/>
      <c r="J5" s="14"/>
      <c r="K5" s="13"/>
      <c r="L5" s="7"/>
      <c r="M5" s="14"/>
      <c r="N5" s="13"/>
      <c r="O5" s="7"/>
      <c r="P5" s="14"/>
      <c r="Q5" s="13"/>
      <c r="R5" s="7"/>
      <c r="S5" s="14"/>
      <c r="T5" s="13"/>
      <c r="U5" s="7"/>
      <c r="V5" s="14"/>
      <c r="W5" s="13"/>
      <c r="X5" s="7"/>
      <c r="Y5" s="14"/>
      <c r="Z5" s="13"/>
      <c r="AA5" s="7"/>
      <c r="AB5" s="14"/>
      <c r="AC5" s="13"/>
      <c r="AD5" s="7"/>
      <c r="AE5" s="14"/>
      <c r="AF5" s="13"/>
      <c r="AG5" s="7"/>
      <c r="AH5" s="14"/>
      <c r="AI5" s="13"/>
      <c r="AJ5" s="7"/>
      <c r="AK5" s="14"/>
      <c r="AL5" s="13"/>
    </row>
    <row r="6" ht="12.75" customHeight="true">
      <c r="A6" s="4"/>
      <c r="B6" s="5"/>
      <c r="C6" s="8" t="s">
        <v>17</v>
      </c>
      <c r="D6" s="8" t="s">
        <v>18</v>
      </c>
      <c r="E6" s="10" t="str">
        <f>SUM(E5:E5)</f>
      </c>
      <c r="F6" s="9" t="s">
        <v>17</v>
      </c>
      <c r="G6" s="8" t="s">
        <v>18</v>
      </c>
      <c r="H6" s="11" t="str">
        <f>SUM(H5:H5)</f>
      </c>
      <c r="I6" s="8" t="s">
        <v>17</v>
      </c>
      <c r="J6" s="8" t="s">
        <v>18</v>
      </c>
      <c r="K6" s="10" t="str">
        <f>SUM(K5:K5)</f>
      </c>
      <c r="L6" s="9" t="s">
        <v>17</v>
      </c>
      <c r="M6" s="8" t="s">
        <v>18</v>
      </c>
      <c r="N6" s="11" t="str">
        <f>SUM(N5:N5)</f>
      </c>
      <c r="O6" s="8" t="s">
        <v>17</v>
      </c>
      <c r="P6" s="8" t="s">
        <v>18</v>
      </c>
      <c r="Q6" s="10" t="str">
        <f>SUM(Q5:Q5)</f>
      </c>
      <c r="R6" s="9" t="s">
        <v>17</v>
      </c>
      <c r="S6" s="8" t="s">
        <v>18</v>
      </c>
      <c r="T6" s="11" t="str">
        <f>SUM(T5:T5)</f>
      </c>
      <c r="U6" s="8" t="s">
        <v>17</v>
      </c>
      <c r="V6" s="8" t="s">
        <v>18</v>
      </c>
      <c r="W6" s="10" t="str">
        <f>SUM(W5:W5)</f>
      </c>
      <c r="X6" s="9" t="s">
        <v>17</v>
      </c>
      <c r="Y6" s="8" t="s">
        <v>18</v>
      </c>
      <c r="Z6" s="11" t="str">
        <f>SUM(Z5:Z5)</f>
      </c>
      <c r="AA6" s="8" t="s">
        <v>17</v>
      </c>
      <c r="AB6" s="8" t="s">
        <v>18</v>
      </c>
      <c r="AC6" s="10" t="str">
        <f>SUM(AC5:AC5)</f>
      </c>
      <c r="AD6" s="9" t="s">
        <v>17</v>
      </c>
      <c r="AE6" s="8" t="s">
        <v>18</v>
      </c>
      <c r="AF6" s="11" t="str">
        <f>SUM(AF5:AF5)</f>
      </c>
      <c r="AG6" s="8" t="s">
        <v>17</v>
      </c>
      <c r="AH6" s="8" t="s">
        <v>18</v>
      </c>
      <c r="AI6" s="10" t="str">
        <f>SUM(AI5:AI5)</f>
      </c>
      <c r="AJ6" s="9" t="s">
        <v>17</v>
      </c>
      <c r="AK6" s="8" t="s">
        <v>18</v>
      </c>
      <c r="AL6" s="11" t="str">
        <f>SUM(AL5:AL5)</f>
      </c>
    </row>
    <row r="8">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row>
    <row r="10" ht="12.75" customHeight="true">
      <c r="A10" s="4" t="s">
        <v>61</v>
      </c>
      <c r="B10" s="5" t="s">
        <v>57</v>
      </c>
      <c r="C10" s="7" t="s">
        <v>56</v>
      </c>
      <c r="D10" s="14">
        <v>46027</v>
      </c>
      <c r="E10" s="13">
        <v>150</v>
      </c>
      <c r="F10" s="7" t="s">
        <v>56</v>
      </c>
      <c r="G10" s="14">
        <v>46058</v>
      </c>
      <c r="H10" s="13">
        <v>150</v>
      </c>
      <c r="I10" s="7"/>
      <c r="J10" s="14"/>
      <c r="K10" s="13"/>
      <c r="L10" s="7"/>
      <c r="M10" s="14"/>
      <c r="N10" s="13"/>
      <c r="O10" s="7"/>
      <c r="P10" s="14"/>
      <c r="Q10" s="13"/>
      <c r="R10" s="7"/>
      <c r="S10" s="14"/>
      <c r="T10" s="13"/>
      <c r="U10" s="7"/>
      <c r="V10" s="14"/>
      <c r="W10" s="13"/>
      <c r="X10" s="7"/>
      <c r="Y10" s="14"/>
      <c r="Z10" s="13"/>
      <c r="AA10" s="7"/>
      <c r="AB10" s="14"/>
      <c r="AC10" s="13"/>
      <c r="AD10" s="7"/>
      <c r="AE10" s="14"/>
      <c r="AF10" s="13"/>
      <c r="AG10" s="7"/>
      <c r="AH10" s="14"/>
      <c r="AI10" s="13"/>
      <c r="AJ10" s="7"/>
      <c r="AK10" s="14"/>
      <c r="AL10" s="13"/>
    </row>
    <row r="11" ht="12.75" customHeight="true">
      <c r="A11" s="4"/>
      <c r="B11" s="5"/>
      <c r="C11" s="8" t="s">
        <v>17</v>
      </c>
      <c r="D11" s="8" t="s">
        <v>18</v>
      </c>
      <c r="E11" s="10" t="str">
        <f>SUM(E10:E10)</f>
      </c>
      <c r="F11" s="9" t="s">
        <v>17</v>
      </c>
      <c r="G11" s="8" t="s">
        <v>18</v>
      </c>
      <c r="H11" s="11" t="str">
        <f>SUM(H10:H10)</f>
      </c>
      <c r="I11" s="8" t="s">
        <v>17</v>
      </c>
      <c r="J11" s="8" t="s">
        <v>18</v>
      </c>
      <c r="K11" s="10" t="str">
        <f>SUM(K10:K10)</f>
      </c>
      <c r="L11" s="9" t="s">
        <v>17</v>
      </c>
      <c r="M11" s="8" t="s">
        <v>18</v>
      </c>
      <c r="N11" s="11" t="str">
        <f>SUM(N10:N10)</f>
      </c>
      <c r="O11" s="8" t="s">
        <v>17</v>
      </c>
      <c r="P11" s="8" t="s">
        <v>18</v>
      </c>
      <c r="Q11" s="10" t="str">
        <f>SUM(Q10:Q10)</f>
      </c>
      <c r="R11" s="9" t="s">
        <v>17</v>
      </c>
      <c r="S11" s="8" t="s">
        <v>18</v>
      </c>
      <c r="T11" s="11" t="str">
        <f>SUM(T10:T10)</f>
      </c>
      <c r="U11" s="8" t="s">
        <v>17</v>
      </c>
      <c r="V11" s="8" t="s">
        <v>18</v>
      </c>
      <c r="W11" s="10" t="str">
        <f>SUM(W10:W10)</f>
      </c>
      <c r="X11" s="9" t="s">
        <v>17</v>
      </c>
      <c r="Y11" s="8" t="s">
        <v>18</v>
      </c>
      <c r="Z11" s="11" t="str">
        <f>SUM(Z10:Z10)</f>
      </c>
      <c r="AA11" s="8" t="s">
        <v>17</v>
      </c>
      <c r="AB11" s="8" t="s">
        <v>18</v>
      </c>
      <c r="AC11" s="10" t="str">
        <f>SUM(AC10:AC10)</f>
      </c>
      <c r="AD11" s="9" t="s">
        <v>17</v>
      </c>
      <c r="AE11" s="8" t="s">
        <v>18</v>
      </c>
      <c r="AF11" s="11" t="str">
        <f>SUM(AF10:AF10)</f>
      </c>
      <c r="AG11" s="8" t="s">
        <v>17</v>
      </c>
      <c r="AH11" s="8" t="s">
        <v>18</v>
      </c>
      <c r="AI11" s="10" t="str">
        <f>SUM(AI10:AI10)</f>
      </c>
      <c r="AJ11" s="9" t="s">
        <v>17</v>
      </c>
      <c r="AK11" s="8" t="s">
        <v>18</v>
      </c>
      <c r="AL11" s="11" t="str">
        <f>SUM(AL10:AL10)</f>
      </c>
    </row>
    <row r="12" ht="12.75" customHeight="true">
      <c r="A12" s="4"/>
      <c r="B12" s="5" t="s">
        <v>60</v>
      </c>
      <c r="C12" s="7" t="s">
        <v>58</v>
      </c>
      <c r="D12" s="14">
        <v>46040</v>
      </c>
      <c r="E12" s="13">
        <v>45</v>
      </c>
      <c r="F12" s="7" t="s">
        <v>59</v>
      </c>
      <c r="G12" s="14">
        <v>46071</v>
      </c>
      <c r="H12" s="13">
        <v>25</v>
      </c>
      <c r="I12" s="7"/>
      <c r="J12" s="14"/>
      <c r="K12" s="13"/>
      <c r="L12" s="7"/>
      <c r="M12" s="14"/>
      <c r="N12" s="13"/>
      <c r="O12" s="7"/>
      <c r="P12" s="14"/>
      <c r="Q12" s="13"/>
      <c r="R12" s="7"/>
      <c r="S12" s="14"/>
      <c r="T12" s="13"/>
      <c r="U12" s="7"/>
      <c r="V12" s="14"/>
      <c r="W12" s="13"/>
      <c r="X12" s="7"/>
      <c r="Y12" s="14"/>
      <c r="Z12" s="13"/>
      <c r="AA12" s="7"/>
      <c r="AB12" s="14"/>
      <c r="AC12" s="13"/>
      <c r="AD12" s="7"/>
      <c r="AE12" s="14"/>
      <c r="AF12" s="13"/>
      <c r="AG12" s="7"/>
      <c r="AH12" s="14"/>
      <c r="AI12" s="13"/>
      <c r="AJ12" s="7"/>
      <c r="AK12" s="14"/>
      <c r="AL12" s="13"/>
    </row>
    <row r="13" ht="12.75" customHeight="true">
      <c r="A13" s="4"/>
      <c r="B13" s="5"/>
      <c r="C13" s="8" t="s">
        <v>17</v>
      </c>
      <c r="D13" s="8" t="s">
        <v>18</v>
      </c>
      <c r="E13" s="10" t="str">
        <f>SUM(E12:E12)</f>
      </c>
      <c r="F13" s="9" t="s">
        <v>17</v>
      </c>
      <c r="G13" s="8" t="s">
        <v>18</v>
      </c>
      <c r="H13" s="11" t="str">
        <f>SUM(H12:H12)</f>
      </c>
      <c r="I13" s="8" t="s">
        <v>17</v>
      </c>
      <c r="J13" s="8" t="s">
        <v>18</v>
      </c>
      <c r="K13" s="10" t="str">
        <f>SUM(K12:K12)</f>
      </c>
      <c r="L13" s="9" t="s">
        <v>17</v>
      </c>
      <c r="M13" s="8" t="s">
        <v>18</v>
      </c>
      <c r="N13" s="11" t="str">
        <f>SUM(N12:N12)</f>
      </c>
      <c r="O13" s="8" t="s">
        <v>17</v>
      </c>
      <c r="P13" s="8" t="s">
        <v>18</v>
      </c>
      <c r="Q13" s="10" t="str">
        <f>SUM(Q12:Q12)</f>
      </c>
      <c r="R13" s="9" t="s">
        <v>17</v>
      </c>
      <c r="S13" s="8" t="s">
        <v>18</v>
      </c>
      <c r="T13" s="11" t="str">
        <f>SUM(T12:T12)</f>
      </c>
      <c r="U13" s="8" t="s">
        <v>17</v>
      </c>
      <c r="V13" s="8" t="s">
        <v>18</v>
      </c>
      <c r="W13" s="10" t="str">
        <f>SUM(W12:W12)</f>
      </c>
      <c r="X13" s="9" t="s">
        <v>17</v>
      </c>
      <c r="Y13" s="8" t="s">
        <v>18</v>
      </c>
      <c r="Z13" s="11" t="str">
        <f>SUM(Z12:Z12)</f>
      </c>
      <c r="AA13" s="8" t="s">
        <v>17</v>
      </c>
      <c r="AB13" s="8" t="s">
        <v>18</v>
      </c>
      <c r="AC13" s="10" t="str">
        <f>SUM(AC12:AC12)</f>
      </c>
      <c r="AD13" s="9" t="s">
        <v>17</v>
      </c>
      <c r="AE13" s="8" t="s">
        <v>18</v>
      </c>
      <c r="AF13" s="11" t="str">
        <f>SUM(AF12:AF12)</f>
      </c>
      <c r="AG13" s="8" t="s">
        <v>17</v>
      </c>
      <c r="AH13" s="8" t="s">
        <v>18</v>
      </c>
      <c r="AI13" s="10" t="str">
        <f>SUM(AI12:AI12)</f>
      </c>
      <c r="AJ13" s="9" t="s">
        <v>17</v>
      </c>
      <c r="AK13" s="8" t="s">
        <v>18</v>
      </c>
      <c r="AL13" s="11" t="str">
        <f>SUM(AL12:AL12)</f>
      </c>
    </row>
  </sheetData>
  <mergeCells count="19">
    <mergeCell ref="A1:B2"/>
    <mergeCell ref="C1:E1"/>
    <mergeCell ref="F1:H1"/>
    <mergeCell ref="I1:K1"/>
    <mergeCell ref="L1:N1"/>
    <mergeCell ref="O1:Q1"/>
    <mergeCell ref="R1:T1"/>
    <mergeCell ref="U1:W1"/>
    <mergeCell ref="X1:Z1"/>
    <mergeCell ref="AA1:AC1"/>
    <mergeCell ref="AD1:AF1"/>
    <mergeCell ref="AG1:AI1"/>
    <mergeCell ref="AJ1:AL1"/>
    <mergeCell ref="B3:B4"/>
    <mergeCell ref="B5:B6"/>
    <mergeCell ref="A3:A6"/>
    <mergeCell ref="B10:B11"/>
    <mergeCell ref="B12:B13"/>
    <mergeCell ref="A10:A13"/>
  </mergeCells>
</worksheet>
</file>

<file path=xl/worksheets/sheet7.xml><?xml version="1.0" encoding="utf-8"?>
<worksheet xmlns="http://schemas.openxmlformats.org/spreadsheetml/2006/main">
  <dimension ref="A1"/>
  <sheetViews>
    <sheetView tabSelected="true" workbookViewId="0">
      <pane activePane="bottomRight" state="frozen" topLeftCell="D4" xSplit="3" ySplit="3"/>
    </sheetView>
  </sheetViews>
  <cols>
    <col customWidth="true" max="1" min="1" width="12.86"/>
    <col customWidth="true" max="2" min="2" width="14"/>
    <col customWidth="true" max="3" min="3" width="18.14"/>
    <col customWidth="true" max="15" min="4" width="16.43"/>
  </cols>
  <sheetData>
    <row r="1" ht="15" customHeight="true"/>
    <row r="2" ht="15" customHeight="true"/>
    <row r="3" ht="15" customHeight="true">
      <c r="A3" s="28"/>
      <c r="B3" s="28"/>
      <c r="C3" s="28"/>
      <c r="D3" s="28" t="s">
        <v>1</v>
      </c>
      <c r="E3" s="28" t="s">
        <v>5</v>
      </c>
      <c r="F3" s="28" t="s">
        <v>6</v>
      </c>
      <c r="G3" s="28" t="s">
        <v>7</v>
      </c>
      <c r="H3" s="28" t="s">
        <v>8</v>
      </c>
      <c r="I3" s="28" t="s">
        <v>9</v>
      </c>
      <c r="J3" s="28" t="s">
        <v>10</v>
      </c>
      <c r="K3" s="28" t="s">
        <v>11</v>
      </c>
      <c r="L3" s="28" t="s">
        <v>12</v>
      </c>
      <c r="M3" s="28" t="s">
        <v>13</v>
      </c>
      <c r="N3" s="28" t="s">
        <v>14</v>
      </c>
      <c r="O3" s="28" t="s">
        <v>15</v>
      </c>
    </row>
    <row r="4" ht="15" customHeight="true"/>
    <row r="5" ht="15" customHeight="true">
      <c r="D5" t="s">
        <v>4</v>
      </c>
      <c r="E5" t="s">
        <v>4</v>
      </c>
      <c r="F5" t="s">
        <v>4</v>
      </c>
      <c r="G5" t="s">
        <v>4</v>
      </c>
      <c r="H5" t="s">
        <v>4</v>
      </c>
      <c r="I5" t="s">
        <v>4</v>
      </c>
      <c r="J5" t="s">
        <v>4</v>
      </c>
      <c r="K5" t="s">
        <v>4</v>
      </c>
      <c r="L5" t="s">
        <v>4</v>
      </c>
      <c r="M5" t="s">
        <v>4</v>
      </c>
      <c r="N5" t="s">
        <v>4</v>
      </c>
      <c r="O5" t="s">
        <v>4</v>
      </c>
    </row>
    <row r="6" ht="15" customHeight="true">
      <c r="A6" s="15" t="s">
        <v>64</v>
      </c>
      <c r="B6" s="16"/>
      <c r="C6" t="s">
        <v>16</v>
      </c>
      <c r="D6" s="13" t="str">
        <f>Receitas!E4</f>
      </c>
      <c r="E6" s="13" t="str">
        <f>Receitas!H4</f>
      </c>
      <c r="F6" s="13" t="str">
        <f>Receitas!K4</f>
      </c>
      <c r="G6" s="13" t="str">
        <f>Receitas!N4</f>
      </c>
      <c r="H6" s="13" t="str">
        <f>Receitas!Q4</f>
      </c>
      <c r="I6" s="13" t="str">
        <f>Receitas!T4</f>
      </c>
      <c r="J6" s="13" t="str">
        <f>Receitas!W4</f>
      </c>
      <c r="K6" s="13" t="str">
        <f>Receitas!Z4</f>
      </c>
      <c r="L6" s="13" t="str">
        <f>Receitas!AC4</f>
      </c>
      <c r="M6" s="13" t="str">
        <f>Receitas!AF4</f>
      </c>
      <c r="N6" s="13" t="str">
        <f>Receitas!AI4</f>
      </c>
      <c r="O6" s="13" t="str">
        <f>Receitas!AL4</f>
      </c>
    </row>
    <row r="7" ht="15" customHeight="true">
      <c r="A7" s="15"/>
      <c r="B7" s="16"/>
      <c r="C7" t="s">
        <v>20</v>
      </c>
      <c r="D7" s="13" t="str">
        <f>Receitas!E6</f>
      </c>
      <c r="E7" s="13" t="str">
        <f>Receitas!H6</f>
      </c>
      <c r="F7" s="13" t="str">
        <f>Receitas!K6</f>
      </c>
      <c r="G7" s="13" t="str">
        <f>Receitas!N6</f>
      </c>
      <c r="H7" s="13" t="str">
        <f>Receitas!Q6</f>
      </c>
      <c r="I7" s="13" t="str">
        <f>Receitas!T6</f>
      </c>
      <c r="J7" s="13" t="str">
        <f>Receitas!W6</f>
      </c>
      <c r="K7" s="13" t="str">
        <f>Receitas!Z6</f>
      </c>
      <c r="L7" s="13" t="str">
        <f>Receitas!AC6</f>
      </c>
      <c r="M7" s="13" t="str">
        <f>Receitas!AF6</f>
      </c>
      <c r="N7" s="13" t="str">
        <f>Receitas!AI6</f>
      </c>
      <c r="O7" s="13" t="str">
        <f>Receitas!AL6</f>
      </c>
    </row>
    <row r="8" ht="15" customHeight="true">
      <c r="A8" s="15"/>
      <c r="B8" s="16"/>
      <c r="C8" s="16"/>
      <c r="D8" s="16"/>
      <c r="E8" s="16"/>
      <c r="F8" s="16"/>
      <c r="G8" s="16"/>
      <c r="H8" s="16"/>
      <c r="I8" s="16"/>
      <c r="J8" s="16"/>
      <c r="K8" s="16"/>
      <c r="L8" s="16"/>
      <c r="M8" s="16"/>
      <c r="N8" s="16"/>
      <c r="O8" s="16"/>
    </row>
    <row r="9" ht="15" customHeight="true">
      <c r="A9" s="15"/>
      <c r="B9" s="22"/>
      <c r="C9" s="22" t="s">
        <v>17</v>
      </c>
      <c r="D9" s="23" t="str">
        <f>SUM(D6:D7)</f>
      </c>
      <c r="E9" s="23" t="str">
        <f>SUM(E6:E7)</f>
      </c>
      <c r="F9" s="23" t="str">
        <f>SUM(F6:F7)</f>
      </c>
      <c r="G9" s="23" t="str">
        <f>SUM(G6:G7)</f>
      </c>
      <c r="H9" s="23" t="str">
        <f>SUM(H6:H7)</f>
      </c>
      <c r="I9" s="23" t="str">
        <f>SUM(I6:I7)</f>
      </c>
      <c r="J9" s="23" t="str">
        <f>SUM(J6:J7)</f>
      </c>
      <c r="K9" s="23" t="str">
        <f>SUM(K6:K7)</f>
      </c>
      <c r="L9" s="23" t="str">
        <f>SUM(L6:L7)</f>
      </c>
      <c r="M9" s="23" t="str">
        <f>SUM(M6:M7)</f>
      </c>
      <c r="N9" s="23" t="str">
        <f>SUM(N6:N7)</f>
      </c>
      <c r="O9" s="23" t="str">
        <f>SUM(O6:O7)</f>
      </c>
    </row>
    <row r="10" ht="15" customHeight="true">
      <c r="A10" s="15"/>
    </row>
    <row r="11" ht="15" customHeight="true">
      <c r="A11" s="15"/>
    </row>
    <row r="12" ht="15" customHeight="true">
      <c r="A12" s="15"/>
      <c r="B12" s="16"/>
      <c r="C12" t="s">
        <v>62</v>
      </c>
      <c r="D12" s="13"/>
      <c r="E12" s="13"/>
      <c r="F12" s="13"/>
      <c r="G12" s="13"/>
      <c r="H12" s="13"/>
      <c r="I12" s="13"/>
      <c r="J12" s="13"/>
      <c r="K12" s="13"/>
      <c r="L12" s="13"/>
      <c r="M12" s="13"/>
      <c r="N12" s="13"/>
      <c r="O12" s="13"/>
    </row>
    <row r="13" ht="15" customHeight="true">
      <c r="A13" s="15"/>
      <c r="B13" s="22"/>
      <c r="C13" s="22" t="s">
        <v>17</v>
      </c>
      <c r="D13" s="23" t="str">
        <f>D12</f>
      </c>
      <c r="E13" s="23" t="str">
        <f>E12</f>
      </c>
      <c r="F13" s="23" t="str">
        <f>F12</f>
      </c>
      <c r="G13" s="23" t="str">
        <f>G12</f>
      </c>
      <c r="H13" s="23" t="str">
        <f>H12</f>
      </c>
      <c r="I13" s="23" t="str">
        <f>I12</f>
      </c>
      <c r="J13" s="23" t="str">
        <f>J12</f>
      </c>
      <c r="K13" s="23" t="str">
        <f>K12</f>
      </c>
      <c r="L13" s="23" t="str">
        <f>L12</f>
      </c>
      <c r="M13" s="23" t="str">
        <f>M12</f>
      </c>
      <c r="N13" s="23" t="str">
        <f>N12</f>
      </c>
      <c r="O13" s="23" t="str">
        <f>O12</f>
      </c>
    </row>
    <row r="14" ht="15" customHeight="true">
      <c r="A14" s="15"/>
      <c r="B14" s="22"/>
      <c r="C14" s="22" t="s">
        <v>63</v>
      </c>
      <c r="D14" s="21" t="str">
        <f>IF(D9&gt;0,D13/D9,0)</f>
      </c>
      <c r="E14" s="21" t="str">
        <f>IF(E9&gt;0,E13/E9,0)</f>
      </c>
      <c r="F14" s="21" t="str">
        <f>IF(F9&gt;0,F13/F9,0)</f>
      </c>
      <c r="G14" s="21" t="str">
        <f>IF(G9&gt;0,G13/G9,0)</f>
      </c>
      <c r="H14" s="21" t="str">
        <f>IF(H9&gt;0,H13/H9,0)</f>
      </c>
      <c r="I14" s="21" t="str">
        <f>IF(I9&gt;0,I13/I9,0)</f>
      </c>
      <c r="J14" s="21" t="str">
        <f>IF(J9&gt;0,J13/J9,0)</f>
      </c>
      <c r="K14" s="21" t="str">
        <f>IF(K9&gt;0,K13/K9,0)</f>
      </c>
      <c r="L14" s="21" t="str">
        <f>IF(L9&gt;0,L13/L9,0)</f>
      </c>
      <c r="M14" s="21" t="str">
        <f>IF(M9&gt;0,M13/M9,0)</f>
      </c>
      <c r="N14" s="21" t="str">
        <f>IF(N9&gt;0,N13/N9,0)</f>
      </c>
      <c r="O14" s="21" t="str">
        <f>IF(O9&gt;0,O13/O9,0)</f>
      </c>
    </row>
    <row r="15" ht="15" customHeight="true"/>
    <row r="16" ht="15" customHeight="true"/>
    <row r="17" ht="15" customHeight="true"/>
    <row r="18" ht="15" customHeight="true">
      <c r="A18" s="15" t="s">
        <v>69</v>
      </c>
      <c r="B18" s="17" t="s">
        <v>25</v>
      </c>
      <c r="C18" t="s">
        <v>22</v>
      </c>
      <c r="D18" s="13" t="str">
        <f>Fixas!E6</f>
      </c>
      <c r="E18" s="13" t="str">
        <f>Fixas!H6</f>
      </c>
      <c r="F18" s="13" t="str">
        <f>Fixas!K6</f>
      </c>
      <c r="G18" s="13" t="str">
        <f>Fixas!N6</f>
      </c>
      <c r="H18" s="13" t="str">
        <f>Fixas!Q6</f>
      </c>
      <c r="I18" s="13" t="str">
        <f>Fixas!T6</f>
      </c>
      <c r="J18" s="13" t="str">
        <f>Fixas!W6</f>
      </c>
      <c r="K18" s="13" t="str">
        <f>Fixas!Z6</f>
      </c>
      <c r="L18" s="13" t="str">
        <f>Fixas!AC6</f>
      </c>
      <c r="M18" s="13" t="str">
        <f>Fixas!AF6</f>
      </c>
      <c r="N18" s="13" t="str">
        <f>Fixas!AI6</f>
      </c>
      <c r="O18" s="13" t="str">
        <f>Fixas!AL6</f>
      </c>
    </row>
    <row r="19" ht="15" customHeight="true">
      <c r="A19" s="15"/>
      <c r="B19" s="17"/>
      <c r="C19" t="s">
        <v>23</v>
      </c>
      <c r="D19" s="13" t="str">
        <f>Fixas!E9</f>
      </c>
      <c r="E19" s="13" t="str">
        <f>Fixas!H9</f>
      </c>
      <c r="F19" s="13" t="str">
        <f>Fixas!K9</f>
      </c>
      <c r="G19" s="13" t="str">
        <f>Fixas!N9</f>
      </c>
      <c r="H19" s="13" t="str">
        <f>Fixas!Q9</f>
      </c>
      <c r="I19" s="13" t="str">
        <f>Fixas!T9</f>
      </c>
      <c r="J19" s="13" t="str">
        <f>Fixas!W9</f>
      </c>
      <c r="K19" s="13" t="str">
        <f>Fixas!Z9</f>
      </c>
      <c r="L19" s="13" t="str">
        <f>Fixas!AC9</f>
      </c>
      <c r="M19" s="13" t="str">
        <f>Fixas!AF9</f>
      </c>
      <c r="N19" s="13" t="str">
        <f>Fixas!AI9</f>
      </c>
      <c r="O19" s="13" t="str">
        <f>Fixas!AL9</f>
      </c>
    </row>
    <row r="20" ht="15" customHeight="true">
      <c r="A20" s="15"/>
      <c r="B20" s="19" t="s">
        <v>65</v>
      </c>
      <c r="C20" s="19"/>
      <c r="D20" s="20" t="str">
        <f>SUM(D18:D19)</f>
      </c>
      <c r="E20" s="20" t="str">
        <f>SUM(E18:E19)</f>
      </c>
      <c r="F20" s="20" t="str">
        <f>SUM(F18:F19)</f>
      </c>
      <c r="G20" s="20" t="str">
        <f>SUM(G18:G19)</f>
      </c>
      <c r="H20" s="20" t="str">
        <f>SUM(H18:H19)</f>
      </c>
      <c r="I20" s="20" t="str">
        <f>SUM(I18:I19)</f>
      </c>
      <c r="J20" s="20" t="str">
        <f>SUM(J18:J19)</f>
      </c>
      <c r="K20" s="20" t="str">
        <f>SUM(K18:K19)</f>
      </c>
      <c r="L20" s="20" t="str">
        <f>SUM(L18:L19)</f>
      </c>
      <c r="M20" s="20" t="str">
        <f>SUM(M18:M19)</f>
      </c>
      <c r="N20" s="20" t="str">
        <f>SUM(N18:N19)</f>
      </c>
      <c r="O20" s="20" t="str">
        <f>SUM(O18:O19)</f>
      </c>
    </row>
    <row r="21" ht="15.75" customHeight="true">
      <c r="A21" s="15"/>
      <c r="B21" s="19" t="s">
        <v>66</v>
      </c>
      <c r="C21" s="19"/>
      <c r="D21" s="21" t="str">
        <f>IF(D28&gt;0,D20/D28,0)</f>
      </c>
      <c r="E21" s="21" t="str">
        <f>IF(E28&gt;0,E20/E28,0)</f>
      </c>
      <c r="F21" s="21" t="str">
        <f>IF(F28&gt;0,F20/F28,0)</f>
      </c>
      <c r="G21" s="21" t="str">
        <f>IF(G28&gt;0,G20/G28,0)</f>
      </c>
      <c r="H21" s="21" t="str">
        <f>IF(H28&gt;0,H20/H28,0)</f>
      </c>
      <c r="I21" s="21" t="str">
        <f>IF(I28&gt;0,I20/I28,0)</f>
      </c>
      <c r="J21" s="21" t="str">
        <f>IF(J28&gt;0,J20/J28,0)</f>
      </c>
      <c r="K21" s="21" t="str">
        <f>IF(K28&gt;0,K20/K28,0)</f>
      </c>
      <c r="L21" s="21" t="str">
        <f>IF(L28&gt;0,L20/L28,0)</f>
      </c>
      <c r="M21" s="21" t="str">
        <f>IF(M28&gt;0,M20/M28,0)</f>
      </c>
      <c r="N21" s="21" t="str">
        <f>IF(N28&gt;0,N20/N28,0)</f>
      </c>
      <c r="O21" s="21" t="str">
        <f>IF(O28&gt;0,O20/O28,0)</f>
      </c>
    </row>
    <row r="22" ht="15.75" customHeight="true">
      <c r="A22" s="15"/>
      <c r="B22" s="19" t="s">
        <v>63</v>
      </c>
      <c r="C22" s="19"/>
      <c r="D22" s="21" t="str">
        <f>IF(D9&gt;0,D20/D9,0)</f>
      </c>
      <c r="E22" s="21" t="str">
        <f>IF(E9&gt;0,E20/E9,0)</f>
      </c>
      <c r="F22" s="21" t="str">
        <f>IF(F9&gt;0,F20/F9,0)</f>
      </c>
      <c r="G22" s="21" t="str">
        <f>IF(G9&gt;0,G20/G9,0)</f>
      </c>
      <c r="H22" s="21" t="str">
        <f>IF(H9&gt;0,H20/H9,0)</f>
      </c>
      <c r="I22" s="21" t="str">
        <f>IF(I9&gt;0,I20/I9,0)</f>
      </c>
      <c r="J22" s="21" t="str">
        <f>IF(J9&gt;0,J20/J9,0)</f>
      </c>
      <c r="K22" s="21" t="str">
        <f>IF(K9&gt;0,K20/K9,0)</f>
      </c>
      <c r="L22" s="21" t="str">
        <f>IF(L9&gt;0,L20/L9,0)</f>
      </c>
      <c r="M22" s="21" t="str">
        <f>IF(M9&gt;0,M20/M9,0)</f>
      </c>
      <c r="N22" s="21" t="str">
        <f>IF(N9&gt;0,N20/N9,0)</f>
      </c>
      <c r="O22" s="21" t="str">
        <f>IF(O9&gt;0,O20/O9,0)</f>
      </c>
    </row>
    <row r="23" ht="15.75" customHeight="true">
      <c r="A23" s="15"/>
      <c r="B23" s="17" t="s">
        <v>28</v>
      </c>
      <c r="C23" t="s">
        <v>26</v>
      </c>
      <c r="D23" s="13" t="str">
        <f>Fixas!E14</f>
      </c>
      <c r="E23" s="13" t="str">
        <f>Fixas!H14</f>
      </c>
      <c r="F23" s="13" t="str">
        <f>Fixas!K14</f>
      </c>
      <c r="G23" s="13" t="str">
        <f>Fixas!N14</f>
      </c>
      <c r="H23" s="13" t="str">
        <f>Fixas!Q14</f>
      </c>
      <c r="I23" s="13" t="str">
        <f>Fixas!T14</f>
      </c>
      <c r="J23" s="13" t="str">
        <f>Fixas!W14</f>
      </c>
      <c r="K23" s="13" t="str">
        <f>Fixas!Z14</f>
      </c>
      <c r="L23" s="13" t="str">
        <f>Fixas!AC14</f>
      </c>
      <c r="M23" s="13" t="str">
        <f>Fixas!AF14</f>
      </c>
      <c r="N23" s="13" t="str">
        <f>Fixas!AI14</f>
      </c>
      <c r="O23" s="13" t="str">
        <f>Fixas!AL14</f>
      </c>
    </row>
    <row r="24" ht="15.75" customHeight="true">
      <c r="A24" s="15"/>
      <c r="B24" s="17"/>
      <c r="C24" t="s">
        <v>27</v>
      </c>
      <c r="D24" s="13" t="str">
        <f>Fixas!E16</f>
      </c>
      <c r="E24" s="13" t="str">
        <f>Fixas!H16</f>
      </c>
      <c r="F24" s="13" t="str">
        <f>Fixas!K16</f>
      </c>
      <c r="G24" s="13" t="str">
        <f>Fixas!N16</f>
      </c>
      <c r="H24" s="13" t="str">
        <f>Fixas!Q16</f>
      </c>
      <c r="I24" s="13" t="str">
        <f>Fixas!T16</f>
      </c>
      <c r="J24" s="13" t="str">
        <f>Fixas!W16</f>
      </c>
      <c r="K24" s="13" t="str">
        <f>Fixas!Z16</f>
      </c>
      <c r="L24" s="13" t="str">
        <f>Fixas!AC16</f>
      </c>
      <c r="M24" s="13" t="str">
        <f>Fixas!AF16</f>
      </c>
      <c r="N24" s="13" t="str">
        <f>Fixas!AI16</f>
      </c>
      <c r="O24" s="13" t="str">
        <f>Fixas!AL16</f>
      </c>
    </row>
    <row r="25" ht="15.75" customHeight="true">
      <c r="A25" s="15"/>
      <c r="B25" s="19" t="s">
        <v>67</v>
      </c>
      <c r="C25" s="19"/>
      <c r="D25" s="20" t="str">
        <f>SUM(D23:D24)</f>
      </c>
      <c r="E25" s="20" t="str">
        <f>SUM(E23:E24)</f>
      </c>
      <c r="F25" s="20" t="str">
        <f>SUM(F23:F24)</f>
      </c>
      <c r="G25" s="20" t="str">
        <f>SUM(G23:G24)</f>
      </c>
      <c r="H25" s="20" t="str">
        <f>SUM(H23:H24)</f>
      </c>
      <c r="I25" s="20" t="str">
        <f>SUM(I23:I24)</f>
      </c>
      <c r="J25" s="20" t="str">
        <f>SUM(J23:J24)</f>
      </c>
      <c r="K25" s="20" t="str">
        <f>SUM(K23:K24)</f>
      </c>
      <c r="L25" s="20" t="str">
        <f>SUM(L23:L24)</f>
      </c>
      <c r="M25" s="20" t="str">
        <f>SUM(M23:M24)</f>
      </c>
      <c r="N25" s="20" t="str">
        <f>SUM(N23:N24)</f>
      </c>
      <c r="O25" s="20" t="str">
        <f>SUM(O23:O24)</f>
      </c>
    </row>
    <row r="26" ht="15.75" customHeight="true">
      <c r="A26" s="15"/>
      <c r="B26" s="19" t="s">
        <v>66</v>
      </c>
      <c r="C26" s="19"/>
      <c r="D26" s="21" t="str">
        <f>IF(D28&gt;0,D25/D28,0)</f>
      </c>
      <c r="E26" s="21" t="str">
        <f>IF(E28&gt;0,E25/E28,0)</f>
      </c>
      <c r="F26" s="21" t="str">
        <f>IF(F28&gt;0,F25/F28,0)</f>
      </c>
      <c r="G26" s="21" t="str">
        <f>IF(G28&gt;0,G25/G28,0)</f>
      </c>
      <c r="H26" s="21" t="str">
        <f>IF(H28&gt;0,H25/H28,0)</f>
      </c>
      <c r="I26" s="21" t="str">
        <f>IF(I28&gt;0,I25/I28,0)</f>
      </c>
      <c r="J26" s="21" t="str">
        <f>IF(J28&gt;0,J25/J28,0)</f>
      </c>
      <c r="K26" s="21" t="str">
        <f>IF(K28&gt;0,K25/K28,0)</f>
      </c>
      <c r="L26" s="21" t="str">
        <f>IF(L28&gt;0,L25/L28,0)</f>
      </c>
      <c r="M26" s="21" t="str">
        <f>IF(M28&gt;0,M25/M28,0)</f>
      </c>
      <c r="N26" s="21" t="str">
        <f>IF(N28&gt;0,N25/N28,0)</f>
      </c>
      <c r="O26" s="21" t="str">
        <f>IF(O28&gt;0,O25/O28,0)</f>
      </c>
    </row>
    <row r="27" ht="15.75" customHeight="true">
      <c r="A27" s="15"/>
      <c r="B27" s="19" t="s">
        <v>63</v>
      </c>
      <c r="C27" s="19"/>
      <c r="D27" s="21" t="str">
        <f>IF(D9&gt;0,D25/D9,0)</f>
      </c>
      <c r="E27" s="21" t="str">
        <f>IF(E9&gt;0,E25/E9,0)</f>
      </c>
      <c r="F27" s="21" t="str">
        <f>IF(F9&gt;0,F25/F9,0)</f>
      </c>
      <c r="G27" s="21" t="str">
        <f>IF(G9&gt;0,G25/G9,0)</f>
      </c>
      <c r="H27" s="21" t="str">
        <f>IF(H9&gt;0,H25/H9,0)</f>
      </c>
      <c r="I27" s="21" t="str">
        <f>IF(I9&gt;0,I25/I9,0)</f>
      </c>
      <c r="J27" s="21" t="str">
        <f>IF(J9&gt;0,J25/J9,0)</f>
      </c>
      <c r="K27" s="21" t="str">
        <f>IF(K9&gt;0,K25/K9,0)</f>
      </c>
      <c r="L27" s="21" t="str">
        <f>IF(L9&gt;0,L25/L9,0)</f>
      </c>
      <c r="M27" s="21" t="str">
        <f>IF(M9&gt;0,M25/M9,0)</f>
      </c>
      <c r="N27" s="21" t="str">
        <f>IF(N9&gt;0,N25/N9,0)</f>
      </c>
      <c r="O27" s="21" t="str">
        <f>IF(O9&gt;0,O25/O9,0)</f>
      </c>
    </row>
    <row r="28" ht="15.75" customHeight="true">
      <c r="A28" s="15"/>
      <c r="B28" s="22" t="s">
        <v>68</v>
      </c>
      <c r="C28" s="22"/>
      <c r="D28" s="23" t="str">
        <f>SUM(D20,D25)</f>
      </c>
      <c r="E28" s="23" t="str">
        <f>SUM(E20,E25)</f>
      </c>
      <c r="F28" s="23" t="str">
        <f>SUM(F20,F25)</f>
      </c>
      <c r="G28" s="23" t="str">
        <f>SUM(G20,G25)</f>
      </c>
      <c r="H28" s="23" t="str">
        <f>SUM(H20,H25)</f>
      </c>
      <c r="I28" s="23" t="str">
        <f>SUM(I20,I25)</f>
      </c>
      <c r="J28" s="23" t="str">
        <f>SUM(J20,J25)</f>
      </c>
      <c r="K28" s="23" t="str">
        <f>SUM(K20,K25)</f>
      </c>
      <c r="L28" s="23" t="str">
        <f>SUM(L20,L25)</f>
      </c>
      <c r="M28" s="23" t="str">
        <f>SUM(M20,M25)</f>
      </c>
      <c r="N28" s="23" t="str">
        <f>SUM(N20,N25)</f>
      </c>
      <c r="O28" s="23" t="str">
        <f>SUM(O20,O25)</f>
      </c>
    </row>
    <row r="29" ht="15.75" customHeight="true">
      <c r="A29" s="15"/>
      <c r="B29" s="16"/>
      <c r="C29" s="16"/>
      <c r="D29" s="16"/>
      <c r="E29" s="16"/>
      <c r="F29" s="16"/>
      <c r="G29" s="16"/>
      <c r="H29" s="16"/>
      <c r="I29" s="16"/>
      <c r="J29" s="16"/>
      <c r="K29" s="16"/>
      <c r="L29" s="16"/>
      <c r="M29" s="16"/>
      <c r="N29" s="16"/>
      <c r="O29" s="16"/>
    </row>
    <row r="30" ht="15.75" customHeight="true">
      <c r="A30" s="15"/>
      <c r="B30" s="22" t="s">
        <v>63</v>
      </c>
      <c r="C30" s="22"/>
      <c r="D30" s="21" t="str">
        <f>IF(D9&gt;0,D28/D9,0)</f>
      </c>
      <c r="E30" s="21" t="str">
        <f>IF(E9&gt;0,E28/E9,0)</f>
      </c>
      <c r="F30" s="21" t="str">
        <f>IF(F9&gt;0,F28/F9,0)</f>
      </c>
      <c r="G30" s="21" t="str">
        <f>IF(G9&gt;0,G28/G9,0)</f>
      </c>
      <c r="H30" s="21" t="str">
        <f>IF(H9&gt;0,H28/H9,0)</f>
      </c>
      <c r="I30" s="21" t="str">
        <f>IF(I9&gt;0,I28/I9,0)</f>
      </c>
      <c r="J30" s="21" t="str">
        <f>IF(J9&gt;0,J28/J9,0)</f>
      </c>
      <c r="K30" s="21" t="str">
        <f>IF(K9&gt;0,K28/K9,0)</f>
      </c>
      <c r="L30" s="21" t="str">
        <f>IF(L9&gt;0,L28/L9,0)</f>
      </c>
      <c r="M30" s="21" t="str">
        <f>IF(M9&gt;0,M28/M9,0)</f>
      </c>
      <c r="N30" s="21" t="str">
        <f>IF(N9&gt;0,N28/N9,0)</f>
      </c>
      <c r="O30" s="21" t="str">
        <f>IF(O9&gt;0,O28/O9,0)</f>
      </c>
    </row>
    <row r="31" ht="15.75" customHeight="true"/>
    <row r="32" ht="15.75" customHeight="true">
      <c r="A32" s="15" t="s">
        <v>74</v>
      </c>
      <c r="B32" s="17" t="s">
        <v>32</v>
      </c>
      <c r="C32" t="s">
        <v>30</v>
      </c>
      <c r="D32" s="13" t="str">
        <f>'Variáveis'!E4</f>
      </c>
      <c r="E32" s="13" t="str">
        <f>'Variáveis'!H4</f>
      </c>
      <c r="F32" s="13" t="str">
        <f>'Variáveis'!K4</f>
      </c>
      <c r="G32" s="13" t="str">
        <f>'Variáveis'!N4</f>
      </c>
      <c r="H32" s="13" t="str">
        <f>'Variáveis'!Q4</f>
      </c>
      <c r="I32" s="13" t="str">
        <f>'Variáveis'!T4</f>
      </c>
      <c r="J32" s="13" t="str">
        <f>'Variáveis'!W4</f>
      </c>
      <c r="K32" s="13" t="str">
        <f>'Variáveis'!Z4</f>
      </c>
      <c r="L32" s="13" t="str">
        <f>'Variáveis'!AC4</f>
      </c>
      <c r="M32" s="13" t="str">
        <f>'Variáveis'!AF4</f>
      </c>
      <c r="N32" s="13" t="str">
        <f>'Variáveis'!AI4</f>
      </c>
      <c r="O32" s="13" t="str">
        <f>'Variáveis'!AL4</f>
      </c>
    </row>
    <row r="33" ht="15.75" customHeight="true">
      <c r="A33" s="15"/>
      <c r="B33" s="17"/>
      <c r="C33" t="s">
        <v>31</v>
      </c>
      <c r="D33" s="13" t="str">
        <f>'Variáveis'!E6</f>
      </c>
      <c r="E33" s="13" t="str">
        <f>'Variáveis'!H6</f>
      </c>
      <c r="F33" s="13" t="str">
        <f>'Variáveis'!K6</f>
      </c>
      <c r="G33" s="13" t="str">
        <f>'Variáveis'!N6</f>
      </c>
      <c r="H33" s="13" t="str">
        <f>'Variáveis'!Q6</f>
      </c>
      <c r="I33" s="13" t="str">
        <f>'Variáveis'!T6</f>
      </c>
      <c r="J33" s="13" t="str">
        <f>'Variáveis'!W6</f>
      </c>
      <c r="K33" s="13" t="str">
        <f>'Variáveis'!Z6</f>
      </c>
      <c r="L33" s="13" t="str">
        <f>'Variáveis'!AC6</f>
      </c>
      <c r="M33" s="13" t="str">
        <f>'Variáveis'!AF6</f>
      </c>
      <c r="N33" s="13" t="str">
        <f>'Variáveis'!AI6</f>
      </c>
      <c r="O33" s="13" t="str">
        <f>'Variáveis'!AL6</f>
      </c>
    </row>
    <row r="34" ht="15.75" customHeight="true">
      <c r="A34" s="15"/>
      <c r="B34" s="19" t="s">
        <v>70</v>
      </c>
      <c r="C34" s="19"/>
      <c r="D34" s="20" t="str">
        <f>SUM(D32:D33)</f>
      </c>
      <c r="E34" s="20" t="str">
        <f>SUM(E32:E33)</f>
      </c>
      <c r="F34" s="20" t="str">
        <f>SUM(F32:F33)</f>
      </c>
      <c r="G34" s="20" t="str">
        <f>SUM(G32:G33)</f>
      </c>
      <c r="H34" s="20" t="str">
        <f>SUM(H32:H33)</f>
      </c>
      <c r="I34" s="20" t="str">
        <f>SUM(I32:I33)</f>
      </c>
      <c r="J34" s="20" t="str">
        <f>SUM(J32:J33)</f>
      </c>
      <c r="K34" s="20" t="str">
        <f>SUM(K32:K33)</f>
      </c>
      <c r="L34" s="20" t="str">
        <f>SUM(L32:L33)</f>
      </c>
      <c r="M34" s="20" t="str">
        <f>SUM(M32:M33)</f>
      </c>
      <c r="N34" s="20" t="str">
        <f>SUM(N32:N33)</f>
      </c>
      <c r="O34" s="20" t="str">
        <f>SUM(O32:O33)</f>
      </c>
    </row>
    <row r="35" ht="15.75" customHeight="true">
      <c r="A35" s="15"/>
      <c r="B35" s="19" t="s">
        <v>66</v>
      </c>
      <c r="C35" s="19"/>
      <c r="D35" s="21" t="str">
        <f>IF(D46&gt;0,D34/D46,0)</f>
      </c>
      <c r="E35" s="21" t="str">
        <f>IF(E46&gt;0,E34/E46,0)</f>
      </c>
      <c r="F35" s="21" t="str">
        <f>IF(F46&gt;0,F34/F46,0)</f>
      </c>
      <c r="G35" s="21" t="str">
        <f>IF(G46&gt;0,G34/G46,0)</f>
      </c>
      <c r="H35" s="21" t="str">
        <f>IF(H46&gt;0,H34/H46,0)</f>
      </c>
      <c r="I35" s="21" t="str">
        <f>IF(I46&gt;0,I34/I46,0)</f>
      </c>
      <c r="J35" s="21" t="str">
        <f>IF(J46&gt;0,J34/J46,0)</f>
      </c>
      <c r="K35" s="21" t="str">
        <f>IF(K46&gt;0,K34/K46,0)</f>
      </c>
      <c r="L35" s="21" t="str">
        <f>IF(L46&gt;0,L34/L46,0)</f>
      </c>
      <c r="M35" s="21" t="str">
        <f>IF(M46&gt;0,M34/M46,0)</f>
      </c>
      <c r="N35" s="21" t="str">
        <f>IF(N46&gt;0,N34/N46,0)</f>
      </c>
      <c r="O35" s="21" t="str">
        <f>IF(O46&gt;0,O34/O46,0)</f>
      </c>
    </row>
    <row r="36" ht="15.75" customHeight="true">
      <c r="A36" s="15"/>
      <c r="B36" s="19" t="s">
        <v>63</v>
      </c>
      <c r="C36" s="19"/>
      <c r="D36" s="21" t="str">
        <f>IF(D9&gt;0,D34/D9,0)</f>
      </c>
      <c r="E36" s="21" t="str">
        <f>IF(E9&gt;0,E34/E9,0)</f>
      </c>
      <c r="F36" s="21" t="str">
        <f>IF(F9&gt;0,F34/F9,0)</f>
      </c>
      <c r="G36" s="21" t="str">
        <f>IF(G9&gt;0,G34/G9,0)</f>
      </c>
      <c r="H36" s="21" t="str">
        <f>IF(H9&gt;0,H34/H9,0)</f>
      </c>
      <c r="I36" s="21" t="str">
        <f>IF(I9&gt;0,I34/I9,0)</f>
      </c>
      <c r="J36" s="21" t="str">
        <f>IF(J9&gt;0,J34/J9,0)</f>
      </c>
      <c r="K36" s="21" t="str">
        <f>IF(K9&gt;0,K34/K9,0)</f>
      </c>
      <c r="L36" s="21" t="str">
        <f>IF(L9&gt;0,L34/L9,0)</f>
      </c>
      <c r="M36" s="21" t="str">
        <f>IF(M9&gt;0,M34/M9,0)</f>
      </c>
      <c r="N36" s="21" t="str">
        <f>IF(N9&gt;0,N34/N9,0)</f>
      </c>
      <c r="O36" s="21" t="str">
        <f>IF(O9&gt;0,O34/O9,0)</f>
      </c>
    </row>
    <row r="37" ht="15.75" customHeight="true">
      <c r="A37" s="15"/>
      <c r="B37" s="17" t="s">
        <v>37</v>
      </c>
      <c r="C37" t="s">
        <v>34</v>
      </c>
      <c r="D37" s="13" t="str">
        <f>'Variáveis'!E11</f>
      </c>
      <c r="E37" s="13" t="str">
        <f>'Variáveis'!H11</f>
      </c>
      <c r="F37" s="13" t="str">
        <f>'Variáveis'!K11</f>
      </c>
      <c r="G37" s="13" t="str">
        <f>'Variáveis'!N11</f>
      </c>
      <c r="H37" s="13" t="str">
        <f>'Variáveis'!Q11</f>
      </c>
      <c r="I37" s="13" t="str">
        <f>'Variáveis'!T11</f>
      </c>
      <c r="J37" s="13" t="str">
        <f>'Variáveis'!W11</f>
      </c>
      <c r="K37" s="13" t="str">
        <f>'Variáveis'!Z11</f>
      </c>
      <c r="L37" s="13" t="str">
        <f>'Variáveis'!AC11</f>
      </c>
      <c r="M37" s="13" t="str">
        <f>'Variáveis'!AF11</f>
      </c>
      <c r="N37" s="13" t="str">
        <f>'Variáveis'!AI11</f>
      </c>
      <c r="O37" s="13" t="str">
        <f>'Variáveis'!AL11</f>
      </c>
    </row>
    <row r="38" ht="15.75" customHeight="true">
      <c r="A38" s="15"/>
      <c r="B38" s="17"/>
      <c r="C38" t="s">
        <v>36</v>
      </c>
      <c r="D38" s="13" t="str">
        <f>'Variáveis'!E13</f>
      </c>
      <c r="E38" s="13" t="str">
        <f>'Variáveis'!H13</f>
      </c>
      <c r="F38" s="13" t="str">
        <f>'Variáveis'!K13</f>
      </c>
      <c r="G38" s="13" t="str">
        <f>'Variáveis'!N13</f>
      </c>
      <c r="H38" s="13" t="str">
        <f>'Variáveis'!Q13</f>
      </c>
      <c r="I38" s="13" t="str">
        <f>'Variáveis'!T13</f>
      </c>
      <c r="J38" s="13" t="str">
        <f>'Variáveis'!W13</f>
      </c>
      <c r="K38" s="13" t="str">
        <f>'Variáveis'!Z13</f>
      </c>
      <c r="L38" s="13" t="str">
        <f>'Variáveis'!AC13</f>
      </c>
      <c r="M38" s="13" t="str">
        <f>'Variáveis'!AF13</f>
      </c>
      <c r="N38" s="13" t="str">
        <f>'Variáveis'!AI13</f>
      </c>
      <c r="O38" s="13" t="str">
        <f>'Variáveis'!AL13</f>
      </c>
    </row>
    <row r="39" ht="15.75" customHeight="true">
      <c r="A39" s="15"/>
      <c r="B39" s="19" t="s">
        <v>71</v>
      </c>
      <c r="C39" s="19"/>
      <c r="D39" s="20" t="str">
        <f>SUM(D37:D38)</f>
      </c>
      <c r="E39" s="20" t="str">
        <f>SUM(E37:E38)</f>
      </c>
      <c r="F39" s="20" t="str">
        <f>SUM(F37:F38)</f>
      </c>
      <c r="G39" s="20" t="str">
        <f>SUM(G37:G38)</f>
      </c>
      <c r="H39" s="20" t="str">
        <f>SUM(H37:H38)</f>
      </c>
      <c r="I39" s="20" t="str">
        <f>SUM(I37:I38)</f>
      </c>
      <c r="J39" s="20" t="str">
        <f>SUM(J37:J38)</f>
      </c>
      <c r="K39" s="20" t="str">
        <f>SUM(K37:K38)</f>
      </c>
      <c r="L39" s="20" t="str">
        <f>SUM(L37:L38)</f>
      </c>
      <c r="M39" s="20" t="str">
        <f>SUM(M37:M38)</f>
      </c>
      <c r="N39" s="20" t="str">
        <f>SUM(N37:N38)</f>
      </c>
      <c r="O39" s="20" t="str">
        <f>SUM(O37:O38)</f>
      </c>
    </row>
    <row r="40" ht="15.75" customHeight="true">
      <c r="A40" s="15"/>
      <c r="B40" s="19" t="s">
        <v>66</v>
      </c>
      <c r="C40" s="19"/>
      <c r="D40" s="21" t="str">
        <f>IF(D46&gt;0,D39/D46,0)</f>
      </c>
      <c r="E40" s="21" t="str">
        <f>IF(E46&gt;0,E39/E46,0)</f>
      </c>
      <c r="F40" s="21" t="str">
        <f>IF(F46&gt;0,F39/F46,0)</f>
      </c>
      <c r="G40" s="21" t="str">
        <f>IF(G46&gt;0,G39/G46,0)</f>
      </c>
      <c r="H40" s="21" t="str">
        <f>IF(H46&gt;0,H39/H46,0)</f>
      </c>
      <c r="I40" s="21" t="str">
        <f>IF(I46&gt;0,I39/I46,0)</f>
      </c>
      <c r="J40" s="21" t="str">
        <f>IF(J46&gt;0,J39/J46,0)</f>
      </c>
      <c r="K40" s="21" t="str">
        <f>IF(K46&gt;0,K39/K46,0)</f>
      </c>
      <c r="L40" s="21" t="str">
        <f>IF(L46&gt;0,L39/L46,0)</f>
      </c>
      <c r="M40" s="21" t="str">
        <f>IF(M46&gt;0,M39/M46,0)</f>
      </c>
      <c r="N40" s="21" t="str">
        <f>IF(N46&gt;0,N39/N46,0)</f>
      </c>
      <c r="O40" s="21" t="str">
        <f>IF(O46&gt;0,O39/O46,0)</f>
      </c>
    </row>
    <row r="41" ht="15.75" customHeight="true">
      <c r="A41" s="15"/>
      <c r="B41" s="19" t="s">
        <v>63</v>
      </c>
      <c r="C41" s="19"/>
      <c r="D41" s="21" t="str">
        <f>IF(D9&gt;0,D39/D9,0)</f>
      </c>
      <c r="E41" s="21" t="str">
        <f>IF(E9&gt;0,E39/E9,0)</f>
      </c>
      <c r="F41" s="21" t="str">
        <f>IF(F9&gt;0,F39/F9,0)</f>
      </c>
      <c r="G41" s="21" t="str">
        <f>IF(G9&gt;0,G39/G9,0)</f>
      </c>
      <c r="H41" s="21" t="str">
        <f>IF(H9&gt;0,H39/H9,0)</f>
      </c>
      <c r="I41" s="21" t="str">
        <f>IF(I9&gt;0,I39/I9,0)</f>
      </c>
      <c r="J41" s="21" t="str">
        <f>IF(J9&gt;0,J39/J9,0)</f>
      </c>
      <c r="K41" s="21" t="str">
        <f>IF(K9&gt;0,K39/K9,0)</f>
      </c>
      <c r="L41" s="21" t="str">
        <f>IF(L9&gt;0,L39/L9,0)</f>
      </c>
      <c r="M41" s="21" t="str">
        <f>IF(M9&gt;0,M39/M9,0)</f>
      </c>
      <c r="N41" s="21" t="str">
        <f>IF(N9&gt;0,N39/N9,0)</f>
      </c>
      <c r="O41" s="21" t="str">
        <f>IF(O9&gt;0,O39/O9,0)</f>
      </c>
    </row>
    <row r="42" ht="15.75" customHeight="true">
      <c r="A42" s="15"/>
      <c r="B42" s="17" t="s">
        <v>40</v>
      </c>
      <c r="C42" t="s">
        <v>39</v>
      </c>
      <c r="D42" s="13" t="str">
        <f>'Variáveis'!E18</f>
      </c>
      <c r="E42" s="13" t="str">
        <f>'Variáveis'!H18</f>
      </c>
      <c r="F42" s="13" t="str">
        <f>'Variáveis'!K18</f>
      </c>
      <c r="G42" s="13" t="str">
        <f>'Variáveis'!N18</f>
      </c>
      <c r="H42" s="13" t="str">
        <f>'Variáveis'!Q18</f>
      </c>
      <c r="I42" s="13" t="str">
        <f>'Variáveis'!T18</f>
      </c>
      <c r="J42" s="13" t="str">
        <f>'Variáveis'!W18</f>
      </c>
      <c r="K42" s="13" t="str">
        <f>'Variáveis'!Z18</f>
      </c>
      <c r="L42" s="13" t="str">
        <f>'Variáveis'!AC18</f>
      </c>
      <c r="M42" s="13" t="str">
        <f>'Variáveis'!AF18</f>
      </c>
      <c r="N42" s="13" t="str">
        <f>'Variáveis'!AI18</f>
      </c>
      <c r="O42" s="13" t="str">
        <f>'Variáveis'!AL18</f>
      </c>
    </row>
    <row r="43" ht="15.75" customHeight="true">
      <c r="A43" s="15"/>
      <c r="B43" s="19" t="s">
        <v>72</v>
      </c>
      <c r="C43" s="19"/>
      <c r="D43" s="20" t="str">
        <f>SUM(D42)</f>
      </c>
      <c r="E43" s="20" t="str">
        <f>SUM(E42)</f>
      </c>
      <c r="F43" s="20" t="str">
        <f>SUM(F42)</f>
      </c>
      <c r="G43" s="20" t="str">
        <f>SUM(G42)</f>
      </c>
      <c r="H43" s="20" t="str">
        <f>SUM(H42)</f>
      </c>
      <c r="I43" s="20" t="str">
        <f>SUM(I42)</f>
      </c>
      <c r="J43" s="20" t="str">
        <f>SUM(J42)</f>
      </c>
      <c r="K43" s="20" t="str">
        <f>SUM(K42)</f>
      </c>
      <c r="L43" s="20" t="str">
        <f>SUM(L42)</f>
      </c>
      <c r="M43" s="20" t="str">
        <f>SUM(M42)</f>
      </c>
      <c r="N43" s="20" t="str">
        <f>SUM(N42)</f>
      </c>
      <c r="O43" s="20" t="str">
        <f>SUM(O42)</f>
      </c>
    </row>
    <row r="44" ht="15.75" customHeight="true">
      <c r="A44" s="15"/>
      <c r="B44" s="19" t="s">
        <v>66</v>
      </c>
      <c r="C44" s="19"/>
      <c r="D44" s="21" t="str">
        <f>IF(D46&gt;0,D43/D46,0)</f>
      </c>
      <c r="E44" s="21" t="str">
        <f>IF(E46&gt;0,E43/E46,0)</f>
      </c>
      <c r="F44" s="21" t="str">
        <f>IF(F46&gt;0,F43/F46,0)</f>
      </c>
      <c r="G44" s="21" t="str">
        <f>IF(G46&gt;0,G43/G46,0)</f>
      </c>
      <c r="H44" s="21" t="str">
        <f>IF(H46&gt;0,H43/H46,0)</f>
      </c>
      <c r="I44" s="21" t="str">
        <f>IF(I46&gt;0,I43/I46,0)</f>
      </c>
      <c r="J44" s="21" t="str">
        <f>IF(J46&gt;0,J43/J46,0)</f>
      </c>
      <c r="K44" s="21" t="str">
        <f>IF(K46&gt;0,K43/K46,0)</f>
      </c>
      <c r="L44" s="21" t="str">
        <f>IF(L46&gt;0,L43/L46,0)</f>
      </c>
      <c r="M44" s="21" t="str">
        <f>IF(M46&gt;0,M43/M46,0)</f>
      </c>
      <c r="N44" s="21" t="str">
        <f>IF(N46&gt;0,N43/N46,0)</f>
      </c>
      <c r="O44" s="21" t="str">
        <f>IF(O46&gt;0,O43/O46,0)</f>
      </c>
    </row>
    <row r="45" ht="15.75" customHeight="true">
      <c r="A45" s="15"/>
      <c r="B45" s="19" t="s">
        <v>63</v>
      </c>
      <c r="C45" s="19"/>
      <c r="D45" s="21" t="str">
        <f>IF(D9&gt;0,D43/D9,0)</f>
      </c>
      <c r="E45" s="21" t="str">
        <f>IF(E9&gt;0,E43/E9,0)</f>
      </c>
      <c r="F45" s="21" t="str">
        <f>IF(F9&gt;0,F43/F9,0)</f>
      </c>
      <c r="G45" s="21" t="str">
        <f>IF(G9&gt;0,G43/G9,0)</f>
      </c>
      <c r="H45" s="21" t="str">
        <f>IF(H9&gt;0,H43/H9,0)</f>
      </c>
      <c r="I45" s="21" t="str">
        <f>IF(I9&gt;0,I43/I9,0)</f>
      </c>
      <c r="J45" s="21" t="str">
        <f>IF(J9&gt;0,J43/J9,0)</f>
      </c>
      <c r="K45" s="21" t="str">
        <f>IF(K9&gt;0,K43/K9,0)</f>
      </c>
      <c r="L45" s="21" t="str">
        <f>IF(L9&gt;0,L43/L9,0)</f>
      </c>
      <c r="M45" s="21" t="str">
        <f>IF(M9&gt;0,M43/M9,0)</f>
      </c>
      <c r="N45" s="21" t="str">
        <f>IF(N9&gt;0,N43/N9,0)</f>
      </c>
      <c r="O45" s="21" t="str">
        <f>IF(O9&gt;0,O43/O9,0)</f>
      </c>
    </row>
    <row r="46" ht="15.75" customHeight="true">
      <c r="A46" s="15"/>
      <c r="B46" s="22" t="s">
        <v>73</v>
      </c>
      <c r="C46" s="22"/>
      <c r="D46" s="23" t="str">
        <f>SUM(D34,D39,D43)</f>
      </c>
      <c r="E46" s="23" t="str">
        <f>SUM(E34,E39,E43)</f>
      </c>
      <c r="F46" s="23" t="str">
        <f>SUM(F34,F39,F43)</f>
      </c>
      <c r="G46" s="23" t="str">
        <f>SUM(G34,G39,G43)</f>
      </c>
      <c r="H46" s="23" t="str">
        <f>SUM(H34,H39,H43)</f>
      </c>
      <c r="I46" s="23" t="str">
        <f>SUM(I34,I39,I43)</f>
      </c>
      <c r="J46" s="23" t="str">
        <f>SUM(J34,J39,J43)</f>
      </c>
      <c r="K46" s="23" t="str">
        <f>SUM(K34,K39,K43)</f>
      </c>
      <c r="L46" s="23" t="str">
        <f>SUM(L34,L39,L43)</f>
      </c>
      <c r="M46" s="23" t="str">
        <f>SUM(M34,M39,M43)</f>
      </c>
      <c r="N46" s="23" t="str">
        <f>SUM(N34,N39,N43)</f>
      </c>
      <c r="O46" s="23" t="str">
        <f>SUM(O34,O39,O43)</f>
      </c>
    </row>
    <row r="47" ht="15.75" customHeight="true">
      <c r="A47" s="15"/>
      <c r="B47" s="16"/>
      <c r="C47" s="16"/>
      <c r="D47" s="16"/>
      <c r="E47" s="16"/>
      <c r="F47" s="16"/>
      <c r="G47" s="16"/>
      <c r="H47" s="16"/>
      <c r="I47" s="16"/>
      <c r="J47" s="16"/>
      <c r="K47" s="16"/>
      <c r="L47" s="16"/>
      <c r="M47" s="16"/>
      <c r="N47" s="16"/>
      <c r="O47" s="16"/>
    </row>
    <row r="48" ht="15.75" customHeight="true">
      <c r="A48" s="15"/>
      <c r="B48" s="22" t="s">
        <v>63</v>
      </c>
      <c r="C48" s="22"/>
      <c r="D48" s="21" t="str">
        <f>IF(D9&gt;0,D46/D9,0)</f>
      </c>
      <c r="E48" s="21" t="str">
        <f>IF(E9&gt;0,E46/E9,0)</f>
      </c>
      <c r="F48" s="21" t="str">
        <f>IF(F9&gt;0,F46/F9,0)</f>
      </c>
      <c r="G48" s="21" t="str">
        <f>IF(G9&gt;0,G46/G9,0)</f>
      </c>
      <c r="H48" s="21" t="str">
        <f>IF(H9&gt;0,H46/H9,0)</f>
      </c>
      <c r="I48" s="21" t="str">
        <f>IF(I9&gt;0,I46/I9,0)</f>
      </c>
      <c r="J48" s="21" t="str">
        <f>IF(J9&gt;0,J46/J9,0)</f>
      </c>
      <c r="K48" s="21" t="str">
        <f>IF(K9&gt;0,K46/K9,0)</f>
      </c>
      <c r="L48" s="21" t="str">
        <f>IF(L9&gt;0,L46/L9,0)</f>
      </c>
      <c r="M48" s="21" t="str">
        <f>IF(M9&gt;0,M46/M9,0)</f>
      </c>
      <c r="N48" s="21" t="str">
        <f>IF(N9&gt;0,N46/N9,0)</f>
      </c>
      <c r="O48" s="21" t="str">
        <f>IF(O9&gt;0,O46/O9,0)</f>
      </c>
    </row>
    <row r="49" ht="15.75" customHeight="true"/>
    <row r="50" ht="15.75" customHeight="true">
      <c r="A50" s="15" t="s">
        <v>78</v>
      </c>
      <c r="B50" s="17" t="s">
        <v>44</v>
      </c>
      <c r="C50" t="s">
        <v>41</v>
      </c>
      <c r="D50" s="13" t="str">
        <f>Extras!E4</f>
      </c>
      <c r="E50" s="13" t="str">
        <f>Extras!H4</f>
      </c>
      <c r="F50" s="13" t="str">
        <f>Extras!K4</f>
      </c>
      <c r="G50" s="13" t="str">
        <f>Extras!N4</f>
      </c>
      <c r="H50" s="13" t="str">
        <f>Extras!Q4</f>
      </c>
      <c r="I50" s="13" t="str">
        <f>Extras!T4</f>
      </c>
      <c r="J50" s="13" t="str">
        <f>Extras!W4</f>
      </c>
      <c r="K50" s="13" t="str">
        <f>Extras!Z4</f>
      </c>
      <c r="L50" s="13" t="str">
        <f>Extras!AC4</f>
      </c>
      <c r="M50" s="13" t="str">
        <f>Extras!AF4</f>
      </c>
      <c r="N50" s="13" t="str">
        <f>Extras!AI4</f>
      </c>
      <c r="O50" s="13" t="str">
        <f>Extras!AL4</f>
      </c>
    </row>
    <row r="51" ht="15.75" customHeight="true">
      <c r="A51" s="15"/>
      <c r="B51" s="17"/>
      <c r="C51" t="s">
        <v>43</v>
      </c>
      <c r="D51" s="13" t="str">
        <f>Extras!E6</f>
      </c>
      <c r="E51" s="13" t="str">
        <f>Extras!H6</f>
      </c>
      <c r="F51" s="13" t="str">
        <f>Extras!K6</f>
      </c>
      <c r="G51" s="13" t="str">
        <f>Extras!N6</f>
      </c>
      <c r="H51" s="13" t="str">
        <f>Extras!Q6</f>
      </c>
      <c r="I51" s="13" t="str">
        <f>Extras!T6</f>
      </c>
      <c r="J51" s="13" t="str">
        <f>Extras!W6</f>
      </c>
      <c r="K51" s="13" t="str">
        <f>Extras!Z6</f>
      </c>
      <c r="L51" s="13" t="str">
        <f>Extras!AC6</f>
      </c>
      <c r="M51" s="13" t="str">
        <f>Extras!AF6</f>
      </c>
      <c r="N51" s="13" t="str">
        <f>Extras!AI6</f>
      </c>
      <c r="O51" s="13" t="str">
        <f>Extras!AL6</f>
      </c>
    </row>
    <row r="52" ht="15.75" customHeight="true">
      <c r="A52" s="15"/>
      <c r="B52" s="19" t="s">
        <v>75</v>
      </c>
      <c r="C52" s="19"/>
      <c r="D52" s="20" t="str">
        <f>SUM(D50:D51)</f>
      </c>
      <c r="E52" s="20" t="str">
        <f>SUM(E50:E51)</f>
      </c>
      <c r="F52" s="20" t="str">
        <f>SUM(F50:F51)</f>
      </c>
      <c r="G52" s="20" t="str">
        <f>SUM(G50:G51)</f>
      </c>
      <c r="H52" s="20" t="str">
        <f>SUM(H50:H51)</f>
      </c>
      <c r="I52" s="20" t="str">
        <f>SUM(I50:I51)</f>
      </c>
      <c r="J52" s="20" t="str">
        <f>SUM(J50:J51)</f>
      </c>
      <c r="K52" s="20" t="str">
        <f>SUM(K50:K51)</f>
      </c>
      <c r="L52" s="20" t="str">
        <f>SUM(L50:L51)</f>
      </c>
      <c r="M52" s="20" t="str">
        <f>SUM(M50:M51)</f>
      </c>
      <c r="N52" s="20" t="str">
        <f>SUM(N50:N51)</f>
      </c>
      <c r="O52" s="20" t="str">
        <f>SUM(O50:O51)</f>
      </c>
    </row>
    <row r="53" ht="15.75" customHeight="true">
      <c r="A53" s="15"/>
      <c r="B53" s="19" t="s">
        <v>66</v>
      </c>
      <c r="C53" s="19"/>
      <c r="D53" s="21" t="str">
        <f>IF(D60&gt;0,D52/D60,0)</f>
      </c>
      <c r="E53" s="21" t="str">
        <f>IF(E60&gt;0,E52/E60,0)</f>
      </c>
      <c r="F53" s="21" t="str">
        <f>IF(F60&gt;0,F52/F60,0)</f>
      </c>
      <c r="G53" s="21" t="str">
        <f>IF(G60&gt;0,G52/G60,0)</f>
      </c>
      <c r="H53" s="21" t="str">
        <f>IF(H60&gt;0,H52/H60,0)</f>
      </c>
      <c r="I53" s="21" t="str">
        <f>IF(I60&gt;0,I52/I60,0)</f>
      </c>
      <c r="J53" s="21" t="str">
        <f>IF(J60&gt;0,J52/J60,0)</f>
      </c>
      <c r="K53" s="21" t="str">
        <f>IF(K60&gt;0,K52/K60,0)</f>
      </c>
      <c r="L53" s="21" t="str">
        <f>IF(L60&gt;0,L52/L60,0)</f>
      </c>
      <c r="M53" s="21" t="str">
        <f>IF(M60&gt;0,M52/M60,0)</f>
      </c>
      <c r="N53" s="21" t="str">
        <f>IF(N60&gt;0,N52/N60,0)</f>
      </c>
      <c r="O53" s="21" t="str">
        <f>IF(O60&gt;0,O52/O60,0)</f>
      </c>
    </row>
    <row r="54" ht="15.75" customHeight="true">
      <c r="A54" s="15"/>
      <c r="B54" s="19" t="s">
        <v>63</v>
      </c>
      <c r="C54" s="19"/>
      <c r="D54" s="21" t="str">
        <f>IF(D9&gt;0,D52/D9,0)</f>
      </c>
      <c r="E54" s="21" t="str">
        <f>IF(E9&gt;0,E52/E9,0)</f>
      </c>
      <c r="F54" s="21" t="str">
        <f>IF(F9&gt;0,F52/F9,0)</f>
      </c>
      <c r="G54" s="21" t="str">
        <f>IF(G9&gt;0,G52/G9,0)</f>
      </c>
      <c r="H54" s="21" t="str">
        <f>IF(H9&gt;0,H52/H9,0)</f>
      </c>
      <c r="I54" s="21" t="str">
        <f>IF(I9&gt;0,I52/I9,0)</f>
      </c>
      <c r="J54" s="21" t="str">
        <f>IF(J9&gt;0,J52/J9,0)</f>
      </c>
      <c r="K54" s="21" t="str">
        <f>IF(K9&gt;0,K52/K9,0)</f>
      </c>
      <c r="L54" s="21" t="str">
        <f>IF(L9&gt;0,L52/L9,0)</f>
      </c>
      <c r="M54" s="21" t="str">
        <f>IF(M9&gt;0,M52/M9,0)</f>
      </c>
      <c r="N54" s="21" t="str">
        <f>IF(N9&gt;0,N52/N9,0)</f>
      </c>
      <c r="O54" s="21" t="str">
        <f>IF(O9&gt;0,O52/O9,0)</f>
      </c>
    </row>
    <row r="55" ht="15.75" customHeight="true">
      <c r="A55" s="15"/>
      <c r="B55" s="17" t="s">
        <v>50</v>
      </c>
      <c r="C55" t="s">
        <v>47</v>
      </c>
      <c r="D55" s="13" t="str">
        <f>Extras!E11</f>
      </c>
      <c r="E55" s="13" t="str">
        <f>Extras!H11</f>
      </c>
      <c r="F55" s="13" t="str">
        <f>Extras!K11</f>
      </c>
      <c r="G55" s="13" t="str">
        <f>Extras!N11</f>
      </c>
      <c r="H55" s="13" t="str">
        <f>Extras!Q11</f>
      </c>
      <c r="I55" s="13" t="str">
        <f>Extras!T11</f>
      </c>
      <c r="J55" s="13" t="str">
        <f>Extras!W11</f>
      </c>
      <c r="K55" s="13" t="str">
        <f>Extras!Z11</f>
      </c>
      <c r="L55" s="13" t="str">
        <f>Extras!AC11</f>
      </c>
      <c r="M55" s="13" t="str">
        <f>Extras!AF11</f>
      </c>
      <c r="N55" s="13" t="str">
        <f>Extras!AI11</f>
      </c>
      <c r="O55" s="13" t="str">
        <f>Extras!AL11</f>
      </c>
    </row>
    <row r="56" ht="15.75" customHeight="true">
      <c r="A56" s="15"/>
      <c r="B56" s="17"/>
      <c r="C56" t="s">
        <v>49</v>
      </c>
      <c r="D56" s="13" t="str">
        <f>Extras!E13</f>
      </c>
      <c r="E56" s="13" t="str">
        <f>Extras!H13</f>
      </c>
      <c r="F56" s="13" t="str">
        <f>Extras!K13</f>
      </c>
      <c r="G56" s="13" t="str">
        <f>Extras!N13</f>
      </c>
      <c r="H56" s="13" t="str">
        <f>Extras!Q13</f>
      </c>
      <c r="I56" s="13" t="str">
        <f>Extras!T13</f>
      </c>
      <c r="J56" s="13" t="str">
        <f>Extras!W13</f>
      </c>
      <c r="K56" s="13" t="str">
        <f>Extras!Z13</f>
      </c>
      <c r="L56" s="13" t="str">
        <f>Extras!AC13</f>
      </c>
      <c r="M56" s="13" t="str">
        <f>Extras!AF13</f>
      </c>
      <c r="N56" s="13" t="str">
        <f>Extras!AI13</f>
      </c>
      <c r="O56" s="13" t="str">
        <f>Extras!AL13</f>
      </c>
    </row>
    <row r="57" ht="15.75" customHeight="true">
      <c r="A57" s="15"/>
      <c r="B57" s="19" t="s">
        <v>76</v>
      </c>
      <c r="C57" s="19"/>
      <c r="D57" s="20" t="str">
        <f>SUM(D55:D56)</f>
      </c>
      <c r="E57" s="20" t="str">
        <f>SUM(E55:E56)</f>
      </c>
      <c r="F57" s="20" t="str">
        <f>SUM(F55:F56)</f>
      </c>
      <c r="G57" s="20" t="str">
        <f>SUM(G55:G56)</f>
      </c>
      <c r="H57" s="20" t="str">
        <f>SUM(H55:H56)</f>
      </c>
      <c r="I57" s="20" t="str">
        <f>SUM(I55:I56)</f>
      </c>
      <c r="J57" s="20" t="str">
        <f>SUM(J55:J56)</f>
      </c>
      <c r="K57" s="20" t="str">
        <f>SUM(K55:K56)</f>
      </c>
      <c r="L57" s="20" t="str">
        <f>SUM(L55:L56)</f>
      </c>
      <c r="M57" s="20" t="str">
        <f>SUM(M55:M56)</f>
      </c>
      <c r="N57" s="20" t="str">
        <f>SUM(N55:N56)</f>
      </c>
      <c r="O57" s="20" t="str">
        <f>SUM(O55:O56)</f>
      </c>
    </row>
    <row r="58" ht="15.75" customHeight="true">
      <c r="A58" s="15"/>
      <c r="B58" s="19" t="s">
        <v>66</v>
      </c>
      <c r="C58" s="19"/>
      <c r="D58" s="21" t="str">
        <f>IF(D60&gt;0,D57/D60,0)</f>
      </c>
      <c r="E58" s="21" t="str">
        <f>IF(E60&gt;0,E57/E60,0)</f>
      </c>
      <c r="F58" s="21" t="str">
        <f>IF(F60&gt;0,F57/F60,0)</f>
      </c>
      <c r="G58" s="21" t="str">
        <f>IF(G60&gt;0,G57/G60,0)</f>
      </c>
      <c r="H58" s="21" t="str">
        <f>IF(H60&gt;0,H57/H60,0)</f>
      </c>
      <c r="I58" s="21" t="str">
        <f>IF(I60&gt;0,I57/I60,0)</f>
      </c>
      <c r="J58" s="21" t="str">
        <f>IF(J60&gt;0,J57/J60,0)</f>
      </c>
      <c r="K58" s="21" t="str">
        <f>IF(K60&gt;0,K57/K60,0)</f>
      </c>
      <c r="L58" s="21" t="str">
        <f>IF(L60&gt;0,L57/L60,0)</f>
      </c>
      <c r="M58" s="21" t="str">
        <f>IF(M60&gt;0,M57/M60,0)</f>
      </c>
      <c r="N58" s="21" t="str">
        <f>IF(N60&gt;0,N57/N60,0)</f>
      </c>
      <c r="O58" s="21" t="str">
        <f>IF(O60&gt;0,O57/O60,0)</f>
      </c>
    </row>
    <row r="59" ht="15.75" customHeight="true">
      <c r="A59" s="15"/>
      <c r="B59" s="19" t="s">
        <v>63</v>
      </c>
      <c r="C59" s="19"/>
      <c r="D59" s="21" t="str">
        <f>IF(D9&gt;0,D57/D9,0)</f>
      </c>
      <c r="E59" s="21" t="str">
        <f>IF(E9&gt;0,E57/E9,0)</f>
      </c>
      <c r="F59" s="21" t="str">
        <f>IF(F9&gt;0,F57/F9,0)</f>
      </c>
      <c r="G59" s="21" t="str">
        <f>IF(G9&gt;0,G57/G9,0)</f>
      </c>
      <c r="H59" s="21" t="str">
        <f>IF(H9&gt;0,H57/H9,0)</f>
      </c>
      <c r="I59" s="21" t="str">
        <f>IF(I9&gt;0,I57/I9,0)</f>
      </c>
      <c r="J59" s="21" t="str">
        <f>IF(J9&gt;0,J57/J9,0)</f>
      </c>
      <c r="K59" s="21" t="str">
        <f>IF(K9&gt;0,K57/K9,0)</f>
      </c>
      <c r="L59" s="21" t="str">
        <f>IF(L9&gt;0,L57/L9,0)</f>
      </c>
      <c r="M59" s="21" t="str">
        <f>IF(M9&gt;0,M57/M9,0)</f>
      </c>
      <c r="N59" s="21" t="str">
        <f>IF(N9&gt;0,N57/N9,0)</f>
      </c>
      <c r="O59" s="21" t="str">
        <f>IF(O9&gt;0,O57/O9,0)</f>
      </c>
    </row>
    <row r="60" ht="15.75" customHeight="true">
      <c r="A60" s="15"/>
      <c r="B60" s="22" t="s">
        <v>77</v>
      </c>
      <c r="C60" s="22"/>
      <c r="D60" s="23" t="str">
        <f>SUM(D52,D57)</f>
      </c>
      <c r="E60" s="23" t="str">
        <f>SUM(E52,E57)</f>
      </c>
      <c r="F60" s="23" t="str">
        <f>SUM(F52,F57)</f>
      </c>
      <c r="G60" s="23" t="str">
        <f>SUM(G52,G57)</f>
      </c>
      <c r="H60" s="23" t="str">
        <f>SUM(H52,H57)</f>
      </c>
      <c r="I60" s="23" t="str">
        <f>SUM(I52,I57)</f>
      </c>
      <c r="J60" s="23" t="str">
        <f>SUM(J52,J57)</f>
      </c>
      <c r="K60" s="23" t="str">
        <f>SUM(K52,K57)</f>
      </c>
      <c r="L60" s="23" t="str">
        <f>SUM(L52,L57)</f>
      </c>
      <c r="M60" s="23" t="str">
        <f>SUM(M52,M57)</f>
      </c>
      <c r="N60" s="23" t="str">
        <f>SUM(N52,N57)</f>
      </c>
      <c r="O60" s="23" t="str">
        <f>SUM(O52,O57)</f>
      </c>
    </row>
    <row r="61" ht="15.75" customHeight="true">
      <c r="A61" s="15"/>
      <c r="B61" s="16"/>
      <c r="C61" s="16"/>
      <c r="D61" s="16"/>
      <c r="E61" s="16"/>
      <c r="F61" s="16"/>
      <c r="G61" s="16"/>
      <c r="H61" s="16"/>
      <c r="I61" s="16"/>
      <c r="J61" s="16"/>
      <c r="K61" s="16"/>
      <c r="L61" s="16"/>
      <c r="M61" s="16"/>
      <c r="N61" s="16"/>
      <c r="O61" s="16"/>
    </row>
    <row r="62" ht="15.75" customHeight="true">
      <c r="A62" s="15"/>
      <c r="B62" s="22" t="s">
        <v>63</v>
      </c>
      <c r="C62" s="22"/>
      <c r="D62" s="21" t="str">
        <f>IF(D9&gt;0,D60/D9,0)</f>
      </c>
      <c r="E62" s="21" t="str">
        <f>IF(E9&gt;0,E60/E9,0)</f>
      </c>
      <c r="F62" s="21" t="str">
        <f>IF(F9&gt;0,F60/F9,0)</f>
      </c>
      <c r="G62" s="21" t="str">
        <f>IF(G9&gt;0,G60/G9,0)</f>
      </c>
      <c r="H62" s="21" t="str">
        <f>IF(H9&gt;0,H60/H9,0)</f>
      </c>
      <c r="I62" s="21" t="str">
        <f>IF(I9&gt;0,I60/I9,0)</f>
      </c>
      <c r="J62" s="21" t="str">
        <f>IF(J9&gt;0,J60/J9,0)</f>
      </c>
      <c r="K62" s="21" t="str">
        <f>IF(K9&gt;0,K60/K9,0)</f>
      </c>
      <c r="L62" s="21" t="str">
        <f>IF(L9&gt;0,L60/L9,0)</f>
      </c>
      <c r="M62" s="21" t="str">
        <f>IF(M9&gt;0,M60/M9,0)</f>
      </c>
      <c r="N62" s="21" t="str">
        <f>IF(N9&gt;0,N60/N9,0)</f>
      </c>
      <c r="O62" s="21" t="str">
        <f>IF(O9&gt;0,O60/O9,0)</f>
      </c>
    </row>
    <row r="63" ht="15.75" customHeight="true"/>
    <row r="64" ht="15.75" customHeight="true">
      <c r="A64" s="15" t="s">
        <v>81</v>
      </c>
      <c r="B64" s="17" t="s">
        <v>28</v>
      </c>
      <c r="C64" t="s">
        <v>53</v>
      </c>
      <c r="D64" s="13" t="str">
        <f>Adicionais!E4</f>
      </c>
      <c r="E64" s="13" t="str">
        <f>Adicionais!H4</f>
      </c>
      <c r="F64" s="13" t="str">
        <f>Adicionais!K4</f>
      </c>
      <c r="G64" s="13" t="str">
        <f>Adicionais!N4</f>
      </c>
      <c r="H64" s="13" t="str">
        <f>Adicionais!Q4</f>
      </c>
      <c r="I64" s="13" t="str">
        <f>Adicionais!T4</f>
      </c>
      <c r="J64" s="13" t="str">
        <f>Adicionais!W4</f>
      </c>
      <c r="K64" s="13" t="str">
        <f>Adicionais!Z4</f>
      </c>
      <c r="L64" s="13" t="str">
        <f>Adicionais!AC4</f>
      </c>
      <c r="M64" s="13" t="str">
        <f>Adicionais!AF4</f>
      </c>
      <c r="N64" s="13" t="str">
        <f>Adicionais!AI4</f>
      </c>
      <c r="O64" s="13" t="str">
        <f>Adicionais!AL4</f>
      </c>
    </row>
    <row r="65" ht="15.75" customHeight="true">
      <c r="A65" s="15"/>
      <c r="B65" s="17"/>
      <c r="C65" t="s">
        <v>55</v>
      </c>
      <c r="D65" s="13" t="str">
        <f>Adicionais!E6</f>
      </c>
      <c r="E65" s="13" t="str">
        <f>Adicionais!H6</f>
      </c>
      <c r="F65" s="13" t="str">
        <f>Adicionais!K6</f>
      </c>
      <c r="G65" s="13" t="str">
        <f>Adicionais!N6</f>
      </c>
      <c r="H65" s="13" t="str">
        <f>Adicionais!Q6</f>
      </c>
      <c r="I65" s="13" t="str">
        <f>Adicionais!T6</f>
      </c>
      <c r="J65" s="13" t="str">
        <f>Adicionais!W6</f>
      </c>
      <c r="K65" s="13" t="str">
        <f>Adicionais!Z6</f>
      </c>
      <c r="L65" s="13" t="str">
        <f>Adicionais!AC6</f>
      </c>
      <c r="M65" s="13" t="str">
        <f>Adicionais!AF6</f>
      </c>
      <c r="N65" s="13" t="str">
        <f>Adicionais!AI6</f>
      </c>
      <c r="O65" s="13" t="str">
        <f>Adicionais!AL6</f>
      </c>
    </row>
    <row r="66" ht="15.75" customHeight="true">
      <c r="A66" s="15"/>
      <c r="B66" s="19" t="s">
        <v>67</v>
      </c>
      <c r="C66" s="19"/>
      <c r="D66" s="20" t="str">
        <f>SUM(D64:D65)</f>
      </c>
      <c r="E66" s="20" t="str">
        <f>SUM(E64:E65)</f>
      </c>
      <c r="F66" s="20" t="str">
        <f>SUM(F64:F65)</f>
      </c>
      <c r="G66" s="20" t="str">
        <f>SUM(G64:G65)</f>
      </c>
      <c r="H66" s="20" t="str">
        <f>SUM(H64:H65)</f>
      </c>
      <c r="I66" s="20" t="str">
        <f>SUM(I64:I65)</f>
      </c>
      <c r="J66" s="20" t="str">
        <f>SUM(J64:J65)</f>
      </c>
      <c r="K66" s="20" t="str">
        <f>SUM(K64:K65)</f>
      </c>
      <c r="L66" s="20" t="str">
        <f>SUM(L64:L65)</f>
      </c>
      <c r="M66" s="20" t="str">
        <f>SUM(M64:M65)</f>
      </c>
      <c r="N66" s="20" t="str">
        <f>SUM(N64:N65)</f>
      </c>
      <c r="O66" s="20" t="str">
        <f>SUM(O64:O65)</f>
      </c>
    </row>
    <row r="67" ht="15.75" customHeight="true">
      <c r="A67" s="15"/>
      <c r="B67" s="19" t="s">
        <v>66</v>
      </c>
      <c r="C67" s="19"/>
      <c r="D67" s="21" t="str">
        <f>IF(D74&gt;0,D66/D74,0)</f>
      </c>
      <c r="E67" s="21" t="str">
        <f>IF(E74&gt;0,E66/E74,0)</f>
      </c>
      <c r="F67" s="21" t="str">
        <f>IF(F74&gt;0,F66/F74,0)</f>
      </c>
      <c r="G67" s="21" t="str">
        <f>IF(G74&gt;0,G66/G74,0)</f>
      </c>
      <c r="H67" s="21" t="str">
        <f>IF(H74&gt;0,H66/H74,0)</f>
      </c>
      <c r="I67" s="21" t="str">
        <f>IF(I74&gt;0,I66/I74,0)</f>
      </c>
      <c r="J67" s="21" t="str">
        <f>IF(J74&gt;0,J66/J74,0)</f>
      </c>
      <c r="K67" s="21" t="str">
        <f>IF(K74&gt;0,K66/K74,0)</f>
      </c>
      <c r="L67" s="21" t="str">
        <f>IF(L74&gt;0,L66/L74,0)</f>
      </c>
      <c r="M67" s="21" t="str">
        <f>IF(M74&gt;0,M66/M74,0)</f>
      </c>
      <c r="N67" s="21" t="str">
        <f>IF(N74&gt;0,N66/N74,0)</f>
      </c>
      <c r="O67" s="21" t="str">
        <f>IF(O74&gt;0,O66/O74,0)</f>
      </c>
    </row>
    <row r="68" ht="15.75" customHeight="true">
      <c r="A68" s="15"/>
      <c r="B68" s="19" t="s">
        <v>63</v>
      </c>
      <c r="C68" s="19"/>
      <c r="D68" s="21" t="str">
        <f>IF(D9&gt;0,D66/D9,0)</f>
      </c>
      <c r="E68" s="21" t="str">
        <f>IF(E9&gt;0,E66/E9,0)</f>
      </c>
      <c r="F68" s="21" t="str">
        <f>IF(F9&gt;0,F66/F9,0)</f>
      </c>
      <c r="G68" s="21" t="str">
        <f>IF(G9&gt;0,G66/G9,0)</f>
      </c>
      <c r="H68" s="21" t="str">
        <f>IF(H9&gt;0,H66/H9,0)</f>
      </c>
      <c r="I68" s="21" t="str">
        <f>IF(I9&gt;0,I66/I9,0)</f>
      </c>
      <c r="J68" s="21" t="str">
        <f>IF(J9&gt;0,J66/J9,0)</f>
      </c>
      <c r="K68" s="21" t="str">
        <f>IF(K9&gt;0,K66/K9,0)</f>
      </c>
      <c r="L68" s="21" t="str">
        <f>IF(L9&gt;0,L66/L9,0)</f>
      </c>
      <c r="M68" s="21" t="str">
        <f>IF(M9&gt;0,M66/M9,0)</f>
      </c>
      <c r="N68" s="21" t="str">
        <f>IF(N9&gt;0,N66/N9,0)</f>
      </c>
      <c r="O68" s="21" t="str">
        <f>IF(O9&gt;0,O66/O9,0)</f>
      </c>
    </row>
    <row r="69" ht="15.75" customHeight="true">
      <c r="A69" s="15"/>
      <c r="B69" s="17" t="s">
        <v>61</v>
      </c>
      <c r="C69" t="s">
        <v>57</v>
      </c>
      <c r="D69" s="13" t="str">
        <f>Adicionais!E11</f>
      </c>
      <c r="E69" s="13" t="str">
        <f>Adicionais!H11</f>
      </c>
      <c r="F69" s="13" t="str">
        <f>Adicionais!K11</f>
      </c>
      <c r="G69" s="13" t="str">
        <f>Adicionais!N11</f>
      </c>
      <c r="H69" s="13" t="str">
        <f>Adicionais!Q11</f>
      </c>
      <c r="I69" s="13" t="str">
        <f>Adicionais!T11</f>
      </c>
      <c r="J69" s="13" t="str">
        <f>Adicionais!W11</f>
      </c>
      <c r="K69" s="13" t="str">
        <f>Adicionais!Z11</f>
      </c>
      <c r="L69" s="13" t="str">
        <f>Adicionais!AC11</f>
      </c>
      <c r="M69" s="13" t="str">
        <f>Adicionais!AF11</f>
      </c>
      <c r="N69" s="13" t="str">
        <f>Adicionais!AI11</f>
      </c>
      <c r="O69" s="13" t="str">
        <f>Adicionais!AL11</f>
      </c>
    </row>
    <row r="70" ht="15.75" customHeight="true">
      <c r="A70" s="15"/>
      <c r="B70" s="17"/>
      <c r="C70" t="s">
        <v>60</v>
      </c>
      <c r="D70" s="13" t="str">
        <f>Adicionais!E13</f>
      </c>
      <c r="E70" s="13" t="str">
        <f>Adicionais!H13</f>
      </c>
      <c r="F70" s="13" t="str">
        <f>Adicionais!K13</f>
      </c>
      <c r="G70" s="13" t="str">
        <f>Adicionais!N13</f>
      </c>
      <c r="H70" s="13" t="str">
        <f>Adicionais!Q13</f>
      </c>
      <c r="I70" s="13" t="str">
        <f>Adicionais!T13</f>
      </c>
      <c r="J70" s="13" t="str">
        <f>Adicionais!W13</f>
      </c>
      <c r="K70" s="13" t="str">
        <f>Adicionais!Z13</f>
      </c>
      <c r="L70" s="13" t="str">
        <f>Adicionais!AC13</f>
      </c>
      <c r="M70" s="13" t="str">
        <f>Adicionais!AF13</f>
      </c>
      <c r="N70" s="13" t="str">
        <f>Adicionais!AI13</f>
      </c>
      <c r="O70" s="13" t="str">
        <f>Adicionais!AL13</f>
      </c>
    </row>
    <row r="71" ht="15.75" customHeight="true">
      <c r="A71" s="15"/>
      <c r="B71" s="19" t="s">
        <v>79</v>
      </c>
      <c r="C71" s="19"/>
      <c r="D71" s="20" t="str">
        <f>SUM(D69:D70)</f>
      </c>
      <c r="E71" s="20" t="str">
        <f>SUM(E69:E70)</f>
      </c>
      <c r="F71" s="20" t="str">
        <f>SUM(F69:F70)</f>
      </c>
      <c r="G71" s="20" t="str">
        <f>SUM(G69:G70)</f>
      </c>
      <c r="H71" s="20" t="str">
        <f>SUM(H69:H70)</f>
      </c>
      <c r="I71" s="20" t="str">
        <f>SUM(I69:I70)</f>
      </c>
      <c r="J71" s="20" t="str">
        <f>SUM(J69:J70)</f>
      </c>
      <c r="K71" s="20" t="str">
        <f>SUM(K69:K70)</f>
      </c>
      <c r="L71" s="20" t="str">
        <f>SUM(L69:L70)</f>
      </c>
      <c r="M71" s="20" t="str">
        <f>SUM(M69:M70)</f>
      </c>
      <c r="N71" s="20" t="str">
        <f>SUM(N69:N70)</f>
      </c>
      <c r="O71" s="20" t="str">
        <f>SUM(O69:O70)</f>
      </c>
    </row>
    <row r="72" ht="15.75" customHeight="true">
      <c r="A72" s="15"/>
      <c r="B72" s="19" t="s">
        <v>66</v>
      </c>
      <c r="C72" s="19"/>
      <c r="D72" s="21" t="str">
        <f>IF(D74&gt;0,D71/D74,0)</f>
      </c>
      <c r="E72" s="21" t="str">
        <f>IF(E74&gt;0,E71/E74,0)</f>
      </c>
      <c r="F72" s="21" t="str">
        <f>IF(F74&gt;0,F71/F74,0)</f>
      </c>
      <c r="G72" s="21" t="str">
        <f>IF(G74&gt;0,G71/G74,0)</f>
      </c>
      <c r="H72" s="21" t="str">
        <f>IF(H74&gt;0,H71/H74,0)</f>
      </c>
      <c r="I72" s="21" t="str">
        <f>IF(I74&gt;0,I71/I74,0)</f>
      </c>
      <c r="J72" s="21" t="str">
        <f>IF(J74&gt;0,J71/J74,0)</f>
      </c>
      <c r="K72" s="21" t="str">
        <f>IF(K74&gt;0,K71/K74,0)</f>
      </c>
      <c r="L72" s="21" t="str">
        <f>IF(L74&gt;0,L71/L74,0)</f>
      </c>
      <c r="M72" s="21" t="str">
        <f>IF(M74&gt;0,M71/M74,0)</f>
      </c>
      <c r="N72" s="21" t="str">
        <f>IF(N74&gt;0,N71/N74,0)</f>
      </c>
      <c r="O72" s="21" t="str">
        <f>IF(O74&gt;0,O71/O74,0)</f>
      </c>
    </row>
    <row r="73" ht="15.75" customHeight="true">
      <c r="A73" s="15"/>
      <c r="B73" s="19" t="s">
        <v>63</v>
      </c>
      <c r="C73" s="19"/>
      <c r="D73" s="21" t="str">
        <f>IF(D9&gt;0,D71/D9,0)</f>
      </c>
      <c r="E73" s="21" t="str">
        <f>IF(E9&gt;0,E71/E9,0)</f>
      </c>
      <c r="F73" s="21" t="str">
        <f>IF(F9&gt;0,F71/F9,0)</f>
      </c>
      <c r="G73" s="21" t="str">
        <f>IF(G9&gt;0,G71/G9,0)</f>
      </c>
      <c r="H73" s="21" t="str">
        <f>IF(H9&gt;0,H71/H9,0)</f>
      </c>
      <c r="I73" s="21" t="str">
        <f>IF(I9&gt;0,I71/I9,0)</f>
      </c>
      <c r="J73" s="21" t="str">
        <f>IF(J9&gt;0,J71/J9,0)</f>
      </c>
      <c r="K73" s="21" t="str">
        <f>IF(K9&gt;0,K71/K9,0)</f>
      </c>
      <c r="L73" s="21" t="str">
        <f>IF(L9&gt;0,L71/L9,0)</f>
      </c>
      <c r="M73" s="21" t="str">
        <f>IF(M9&gt;0,M71/M9,0)</f>
      </c>
      <c r="N73" s="21" t="str">
        <f>IF(N9&gt;0,N71/N9,0)</f>
      </c>
      <c r="O73" s="21" t="str">
        <f>IF(O9&gt;0,O71/O9,0)</f>
      </c>
    </row>
    <row r="74" ht="15.75" customHeight="true">
      <c r="A74" s="15"/>
      <c r="B74" s="22" t="s">
        <v>80</v>
      </c>
      <c r="C74" s="22"/>
      <c r="D74" s="23" t="str">
        <f>SUM(D66,D71)</f>
      </c>
      <c r="E74" s="23" t="str">
        <f>SUM(E66,E71)</f>
      </c>
      <c r="F74" s="23" t="str">
        <f>SUM(F66,F71)</f>
      </c>
      <c r="G74" s="23" t="str">
        <f>SUM(G66,G71)</f>
      </c>
      <c r="H74" s="23" t="str">
        <f>SUM(H66,H71)</f>
      </c>
      <c r="I74" s="23" t="str">
        <f>SUM(I66,I71)</f>
      </c>
      <c r="J74" s="23" t="str">
        <f>SUM(J66,J71)</f>
      </c>
      <c r="K74" s="23" t="str">
        <f>SUM(K66,K71)</f>
      </c>
      <c r="L74" s="23" t="str">
        <f>SUM(L66,L71)</f>
      </c>
      <c r="M74" s="23" t="str">
        <f>SUM(M66,M71)</f>
      </c>
      <c r="N74" s="23" t="str">
        <f>SUM(N66,N71)</f>
      </c>
      <c r="O74" s="23" t="str">
        <f>SUM(O66,O71)</f>
      </c>
    </row>
    <row r="75" ht="15.75" customHeight="true">
      <c r="A75" s="15"/>
      <c r="B75" s="16"/>
      <c r="C75" s="16"/>
      <c r="D75" s="16"/>
      <c r="E75" s="16"/>
      <c r="F75" s="16"/>
      <c r="G75" s="16"/>
      <c r="H75" s="16"/>
      <c r="I75" s="16"/>
      <c r="J75" s="16"/>
      <c r="K75" s="16"/>
      <c r="L75" s="16"/>
      <c r="M75" s="16"/>
      <c r="N75" s="16"/>
      <c r="O75" s="16"/>
    </row>
    <row r="76" ht="15.75" customHeight="true">
      <c r="A76" s="15"/>
      <c r="B76" s="22" t="s">
        <v>63</v>
      </c>
      <c r="C76" s="22"/>
      <c r="D76" s="21" t="str">
        <f>IF(D9&gt;0,D74/D9,0)</f>
      </c>
      <c r="E76" s="21" t="str">
        <f>IF(E9&gt;0,E74/E9,0)</f>
      </c>
      <c r="F76" s="21" t="str">
        <f>IF(F9&gt;0,F74/F9,0)</f>
      </c>
      <c r="G76" s="21" t="str">
        <f>IF(G9&gt;0,G74/G9,0)</f>
      </c>
      <c r="H76" s="21" t="str">
        <f>IF(H9&gt;0,H74/H9,0)</f>
      </c>
      <c r="I76" s="21" t="str">
        <f>IF(I9&gt;0,I74/I9,0)</f>
      </c>
      <c r="J76" s="21" t="str">
        <f>IF(J9&gt;0,J74/J9,0)</f>
      </c>
      <c r="K76" s="21" t="str">
        <f>IF(K9&gt;0,K74/K9,0)</f>
      </c>
      <c r="L76" s="21" t="str">
        <f>IF(L9&gt;0,L74/L9,0)</f>
      </c>
      <c r="M76" s="21" t="str">
        <f>IF(M9&gt;0,M74/M9,0)</f>
      </c>
      <c r="N76" s="21" t="str">
        <f>IF(N9&gt;0,N74/N9,0)</f>
      </c>
      <c r="O76" s="21" t="str">
        <f>IF(O9&gt;0,O74/O9,0)</f>
      </c>
    </row>
    <row r="77" ht="15.75" customHeight="true"/>
    <row r="78" ht="3.75" customHeight="true"/>
    <row r="79" ht="15.75" customHeight="true">
      <c r="A79" s="22" t="s">
        <v>21</v>
      </c>
      <c r="B79" s="22"/>
      <c r="C79" s="22"/>
      <c r="D79" s="23" t="str">
        <f>D9</f>
      </c>
      <c r="E79" s="23" t="str">
        <f>E9</f>
      </c>
      <c r="F79" s="23" t="str">
        <f>F9</f>
      </c>
      <c r="G79" s="23" t="str">
        <f>G9</f>
      </c>
      <c r="H79" s="23" t="str">
        <f>H9</f>
      </c>
      <c r="I79" s="23" t="str">
        <f>I9</f>
      </c>
      <c r="J79" s="23" t="str">
        <f>J9</f>
      </c>
      <c r="K79" s="23" t="str">
        <f>K9</f>
      </c>
      <c r="L79" s="23" t="str">
        <f>L9</f>
      </c>
      <c r="M79" s="23" t="str">
        <f>M9</f>
      </c>
      <c r="N79" s="23" t="str">
        <f>N9</f>
      </c>
      <c r="O79" s="23" t="str">
        <f>O9</f>
      </c>
    </row>
    <row r="80" ht="15.75" customHeight="true">
      <c r="A80" s="22" t="s">
        <v>62</v>
      </c>
      <c r="B80" s="22"/>
      <c r="C80" s="22"/>
      <c r="D80" s="23" t="str">
        <f>D13</f>
      </c>
      <c r="E80" s="23" t="str">
        <f>E13</f>
      </c>
      <c r="F80" s="23" t="str">
        <f>F13</f>
      </c>
      <c r="G80" s="23" t="str">
        <f>G13</f>
      </c>
      <c r="H80" s="23" t="str">
        <f>H13</f>
      </c>
      <c r="I80" s="23" t="str">
        <f>I13</f>
      </c>
      <c r="J80" s="23" t="str">
        <f>J13</f>
      </c>
      <c r="K80" s="23" t="str">
        <f>K13</f>
      </c>
      <c r="L80" s="23" t="str">
        <f>L13</f>
      </c>
      <c r="M80" s="23" t="str">
        <f>M13</f>
      </c>
      <c r="N80" s="23" t="str">
        <f>N13</f>
      </c>
      <c r="O80" s="23" t="str">
        <f>O13</f>
      </c>
    </row>
    <row r="81" ht="15.75" customHeight="true">
      <c r="A81" s="25" t="s">
        <v>82</v>
      </c>
      <c r="B81" s="25"/>
      <c r="C81" s="25"/>
      <c r="D81" s="26" t="str">
        <f>SUM(D79:D80)</f>
      </c>
      <c r="E81" s="26" t="str">
        <f>SUM(E79:E80)</f>
      </c>
      <c r="F81" s="26" t="str">
        <f>SUM(F79:F80)</f>
      </c>
      <c r="G81" s="26" t="str">
        <f>SUM(G79:G80)</f>
      </c>
      <c r="H81" s="26" t="str">
        <f>SUM(H79:H80)</f>
      </c>
      <c r="I81" s="26" t="str">
        <f>SUM(I79:I80)</f>
      </c>
      <c r="J81" s="26" t="str">
        <f>SUM(J79:J80)</f>
      </c>
      <c r="K81" s="26" t="str">
        <f>SUM(K79:K80)</f>
      </c>
      <c r="L81" s="26" t="str">
        <f>SUM(L79:L80)</f>
      </c>
      <c r="M81" s="26" t="str">
        <f>SUM(M79:M80)</f>
      </c>
      <c r="N81" s="26" t="str">
        <f>SUM(N79:N80)</f>
      </c>
      <c r="O81" s="26" t="str">
        <f>SUM(O79:O80)</f>
      </c>
    </row>
    <row r="82" ht="15.75" customHeight="true">
      <c r="A82" s="22" t="s">
        <v>83</v>
      </c>
      <c r="B82" s="22"/>
      <c r="C82" s="22"/>
      <c r="D82" s="23" t="str">
        <f>D28</f>
      </c>
      <c r="E82" s="23" t="str">
        <f>E28</f>
      </c>
      <c r="F82" s="23" t="str">
        <f>F28</f>
      </c>
      <c r="G82" s="23" t="str">
        <f>G28</f>
      </c>
      <c r="H82" s="23" t="str">
        <f>H28</f>
      </c>
      <c r="I82" s="23" t="str">
        <f>I28</f>
      </c>
      <c r="J82" s="23" t="str">
        <f>J28</f>
      </c>
      <c r="K82" s="23" t="str">
        <f>K28</f>
      </c>
      <c r="L82" s="23" t="str">
        <f>L28</f>
      </c>
      <c r="M82" s="23" t="str">
        <f>M28</f>
      </c>
      <c r="N82" s="23" t="str">
        <f>N28</f>
      </c>
      <c r="O82" s="23" t="str">
        <f>O28</f>
      </c>
    </row>
    <row r="83" ht="15.75" customHeight="true">
      <c r="A83" s="22" t="s">
        <v>84</v>
      </c>
      <c r="B83" s="22"/>
      <c r="C83" s="22"/>
      <c r="D83" s="23" t="str">
        <f>D46</f>
      </c>
      <c r="E83" s="23" t="str">
        <f>E46</f>
      </c>
      <c r="F83" s="23" t="str">
        <f>F46</f>
      </c>
      <c r="G83" s="23" t="str">
        <f>G46</f>
      </c>
      <c r="H83" s="23" t="str">
        <f>H46</f>
      </c>
      <c r="I83" s="23" t="str">
        <f>I46</f>
      </c>
      <c r="J83" s="23" t="str">
        <f>J46</f>
      </c>
      <c r="K83" s="23" t="str">
        <f>K46</f>
      </c>
      <c r="L83" s="23" t="str">
        <f>L46</f>
      </c>
      <c r="M83" s="23" t="str">
        <f>M46</f>
      </c>
      <c r="N83" s="23" t="str">
        <f>N46</f>
      </c>
      <c r="O83" s="23" t="str">
        <f>O46</f>
      </c>
    </row>
    <row r="84" ht="15.75" customHeight="true">
      <c r="A84" s="22" t="s">
        <v>85</v>
      </c>
      <c r="B84" s="22"/>
      <c r="C84" s="22"/>
      <c r="D84" s="23" t="str">
        <f>D60</f>
      </c>
      <c r="E84" s="23" t="str">
        <f>E60</f>
      </c>
      <c r="F84" s="23" t="str">
        <f>F60</f>
      </c>
      <c r="G84" s="23" t="str">
        <f>G60</f>
      </c>
      <c r="H84" s="23" t="str">
        <f>H60</f>
      </c>
      <c r="I84" s="23" t="str">
        <f>I60</f>
      </c>
      <c r="J84" s="23" t="str">
        <f>J60</f>
      </c>
      <c r="K84" s="23" t="str">
        <f>K60</f>
      </c>
      <c r="L84" s="23" t="str">
        <f>L60</f>
      </c>
      <c r="M84" s="23" t="str">
        <f>M60</f>
      </c>
      <c r="N84" s="23" t="str">
        <f>N60</f>
      </c>
      <c r="O84" s="23" t="str">
        <f>O60</f>
      </c>
    </row>
    <row r="85" ht="15.75" customHeight="true">
      <c r="A85" s="22" t="s">
        <v>86</v>
      </c>
      <c r="B85" s="22"/>
      <c r="C85" s="22"/>
      <c r="D85" s="23" t="str">
        <f>D74</f>
      </c>
      <c r="E85" s="23" t="str">
        <f>E74</f>
      </c>
      <c r="F85" s="23" t="str">
        <f>F74</f>
      </c>
      <c r="G85" s="23" t="str">
        <f>G74</f>
      </c>
      <c r="H85" s="23" t="str">
        <f>H74</f>
      </c>
      <c r="I85" s="23" t="str">
        <f>I74</f>
      </c>
      <c r="J85" s="23" t="str">
        <f>J74</f>
      </c>
      <c r="K85" s="23" t="str">
        <f>K74</f>
      </c>
      <c r="L85" s="23" t="str">
        <f>L74</f>
      </c>
      <c r="M85" s="23" t="str">
        <f>M74</f>
      </c>
      <c r="N85" s="23" t="str">
        <f>N74</f>
      </c>
      <c r="O85" s="23" t="str">
        <f>O74</f>
      </c>
    </row>
    <row r="86" ht="15.75" customHeight="true">
      <c r="A86" s="25" t="s">
        <v>87</v>
      </c>
      <c r="B86" s="25"/>
      <c r="C86" s="25"/>
      <c r="D86" s="26" t="str">
        <f>SUM(D82,D83,D84,D85)</f>
      </c>
      <c r="E86" s="26" t="str">
        <f>SUM(E82,E83,E84,E85)</f>
      </c>
      <c r="F86" s="26" t="str">
        <f>SUM(F82,F83,F84,F85)</f>
      </c>
      <c r="G86" s="26" t="str">
        <f>SUM(G82,G83,G84,G85)</f>
      </c>
      <c r="H86" s="26" t="str">
        <f>SUM(H82,H83,H84,H85)</f>
      </c>
      <c r="I86" s="26" t="str">
        <f>SUM(I82,I83,I84,I85)</f>
      </c>
      <c r="J86" s="26" t="str">
        <f>SUM(J82,J83,J84,J85)</f>
      </c>
      <c r="K86" s="26" t="str">
        <f>SUM(K82,K83,K84,K85)</f>
      </c>
      <c r="L86" s="26" t="str">
        <f>SUM(L82,L83,L84,L85)</f>
      </c>
      <c r="M86" s="26" t="str">
        <f>SUM(M82,M83,M84,M85)</f>
      </c>
      <c r="N86" s="26" t="str">
        <f>SUM(N82,N83,N84,N85)</f>
      </c>
      <c r="O86" s="26" t="str">
        <f>SUM(O82,O83,O84,O85)</f>
      </c>
    </row>
    <row r="87" ht="15.75" customHeight="true">
      <c r="A87" s="25" t="s">
        <v>88</v>
      </c>
      <c r="B87" s="25"/>
      <c r="C87" s="25"/>
      <c r="D87" s="25"/>
      <c r="E87" s="25"/>
      <c r="F87" s="25"/>
      <c r="G87" s="25"/>
      <c r="H87" s="25"/>
      <c r="I87" s="25"/>
      <c r="J87" s="25"/>
      <c r="K87" s="25"/>
      <c r="L87" s="25"/>
      <c r="M87" s="25"/>
      <c r="N87" s="25"/>
      <c r="O87" s="25"/>
    </row>
    <row r="88" ht="15.75" customHeight="true">
      <c r="A88" s="22" t="s">
        <v>69</v>
      </c>
      <c r="B88" s="22"/>
      <c r="C88" s="22"/>
      <c r="D88" s="21" t="str">
        <f>IF(D86&gt;0,D82/D86,0)</f>
      </c>
      <c r="E88" s="21" t="str">
        <f>IF(E86&gt;0,E82/E86,0)</f>
      </c>
      <c r="F88" s="21" t="str">
        <f>IF(F86&gt;0,F82/F86,0)</f>
      </c>
      <c r="G88" s="21" t="str">
        <f>IF(G86&gt;0,G82/G86,0)</f>
      </c>
      <c r="H88" s="21" t="str">
        <f>IF(H86&gt;0,H82/H86,0)</f>
      </c>
      <c r="I88" s="21" t="str">
        <f>IF(I86&gt;0,I82/I86,0)</f>
      </c>
      <c r="J88" s="21" t="str">
        <f>IF(J86&gt;0,J82/J86,0)</f>
      </c>
      <c r="K88" s="21" t="str">
        <f>IF(K86&gt;0,K82/K86,0)</f>
      </c>
      <c r="L88" s="21" t="str">
        <f>IF(L86&gt;0,L82/L86,0)</f>
      </c>
      <c r="M88" s="21" t="str">
        <f>IF(M86&gt;0,M82/M86,0)</f>
      </c>
      <c r="N88" s="21" t="str">
        <f>IF(N86&gt;0,N82/N86,0)</f>
      </c>
      <c r="O88" s="21" t="str">
        <f>IF(O86&gt;0,O82/O86,0)</f>
      </c>
    </row>
    <row r="89" ht="15.75" customHeight="true">
      <c r="A89" s="22" t="s">
        <v>74</v>
      </c>
      <c r="B89" s="22"/>
      <c r="C89" s="22"/>
      <c r="D89" s="21" t="str">
        <f>IF(D86&gt;0,D83/D86,0)</f>
      </c>
      <c r="E89" s="21" t="str">
        <f>IF(E86&gt;0,E83/E86,0)</f>
      </c>
      <c r="F89" s="21" t="str">
        <f>IF(F86&gt;0,F83/F86,0)</f>
      </c>
      <c r="G89" s="21" t="str">
        <f>IF(G86&gt;0,G83/G86,0)</f>
      </c>
      <c r="H89" s="21" t="str">
        <f>IF(H86&gt;0,H83/H86,0)</f>
      </c>
      <c r="I89" s="21" t="str">
        <f>IF(I86&gt;0,I83/I86,0)</f>
      </c>
      <c r="J89" s="21" t="str">
        <f>IF(J86&gt;0,J83/J86,0)</f>
      </c>
      <c r="K89" s="21" t="str">
        <f>IF(K86&gt;0,K83/K86,0)</f>
      </c>
      <c r="L89" s="21" t="str">
        <f>IF(L86&gt;0,L83/L86,0)</f>
      </c>
      <c r="M89" s="21" t="str">
        <f>IF(M86&gt;0,M83/M86,0)</f>
      </c>
      <c r="N89" s="21" t="str">
        <f>IF(N86&gt;0,N83/N86,0)</f>
      </c>
      <c r="O89" s="21" t="str">
        <f>IF(O86&gt;0,O83/O86,0)</f>
      </c>
    </row>
    <row r="90" ht="15.75" customHeight="true">
      <c r="A90" s="22" t="s">
        <v>78</v>
      </c>
      <c r="B90" s="22"/>
      <c r="C90" s="22"/>
      <c r="D90" s="21" t="str">
        <f>IF(D86&gt;0,D84/D86,0)</f>
      </c>
      <c r="E90" s="21" t="str">
        <f>IF(E86&gt;0,E84/E86,0)</f>
      </c>
      <c r="F90" s="21" t="str">
        <f>IF(F86&gt;0,F84/F86,0)</f>
      </c>
      <c r="G90" s="21" t="str">
        <f>IF(G86&gt;0,G84/G86,0)</f>
      </c>
      <c r="H90" s="21" t="str">
        <f>IF(H86&gt;0,H84/H86,0)</f>
      </c>
      <c r="I90" s="21" t="str">
        <f>IF(I86&gt;0,I84/I86,0)</f>
      </c>
      <c r="J90" s="21" t="str">
        <f>IF(J86&gt;0,J84/J86,0)</f>
      </c>
      <c r="K90" s="21" t="str">
        <f>IF(K86&gt;0,K84/K86,0)</f>
      </c>
      <c r="L90" s="21" t="str">
        <f>IF(L86&gt;0,L84/L86,0)</f>
      </c>
      <c r="M90" s="21" t="str">
        <f>IF(M86&gt;0,M84/M86,0)</f>
      </c>
      <c r="N90" s="21" t="str">
        <f>IF(N86&gt;0,N84/N86,0)</f>
      </c>
      <c r="O90" s="21" t="str">
        <f>IF(O86&gt;0,O84/O86,0)</f>
      </c>
    </row>
    <row r="91" ht="15.75" customHeight="true">
      <c r="A91" s="22" t="s">
        <v>81</v>
      </c>
      <c r="B91" s="22"/>
      <c r="C91" s="22"/>
      <c r="D91" s="21" t="str">
        <f>IF(D86&gt;0,D85/D86,0)</f>
      </c>
      <c r="E91" s="21" t="str">
        <f>IF(E86&gt;0,E85/E86,0)</f>
      </c>
      <c r="F91" s="21" t="str">
        <f>IF(F86&gt;0,F85/F86,0)</f>
      </c>
      <c r="G91" s="21" t="str">
        <f>IF(G86&gt;0,G85/G86,0)</f>
      </c>
      <c r="H91" s="21" t="str">
        <f>IF(H86&gt;0,H85/H86,0)</f>
      </c>
      <c r="I91" s="21" t="str">
        <f>IF(I86&gt;0,I85/I86,0)</f>
      </c>
      <c r="J91" s="21" t="str">
        <f>IF(J86&gt;0,J85/J86,0)</f>
      </c>
      <c r="K91" s="21" t="str">
        <f>IF(K86&gt;0,K85/K86,0)</f>
      </c>
      <c r="L91" s="21" t="str">
        <f>IF(L86&gt;0,L85/L86,0)</f>
      </c>
      <c r="M91" s="21" t="str">
        <f>IF(M86&gt;0,M85/M86,0)</f>
      </c>
      <c r="N91" s="21" t="str">
        <f>IF(N86&gt;0,N85/N86,0)</f>
      </c>
      <c r="O91" s="21" t="str">
        <f>IF(O86&gt;0,O85/O86,0)</f>
      </c>
    </row>
    <row r="92" ht="15.75" customHeight="true">
      <c r="A92" s="25" t="s">
        <v>89</v>
      </c>
      <c r="B92" s="25"/>
      <c r="C92" s="25"/>
      <c r="D92" s="25"/>
      <c r="E92" s="25"/>
      <c r="F92" s="25"/>
      <c r="G92" s="25"/>
      <c r="H92" s="25"/>
      <c r="I92" s="25"/>
      <c r="J92" s="25"/>
      <c r="K92" s="25"/>
      <c r="L92" s="25"/>
      <c r="M92" s="25"/>
      <c r="N92" s="25"/>
      <c r="O92" s="25"/>
    </row>
    <row r="93" ht="15.75" customHeight="true">
      <c r="A93" s="22" t="s">
        <v>69</v>
      </c>
      <c r="B93" s="22"/>
      <c r="C93" s="22"/>
      <c r="D93" s="21" t="str">
        <f>IF(D81&gt;0,D82/D81,0)</f>
      </c>
      <c r="E93" s="21" t="str">
        <f>IF(E81&gt;0,E82/E81,0)</f>
      </c>
      <c r="F93" s="21" t="str">
        <f>IF(F81&gt;0,F82/F81,0)</f>
      </c>
      <c r="G93" s="21" t="str">
        <f>IF(G81&gt;0,G82/G81,0)</f>
      </c>
      <c r="H93" s="21" t="str">
        <f>IF(H81&gt;0,H82/H81,0)</f>
      </c>
      <c r="I93" s="21" t="str">
        <f>IF(I81&gt;0,I82/I81,0)</f>
      </c>
      <c r="J93" s="21" t="str">
        <f>IF(J81&gt;0,J82/J81,0)</f>
      </c>
      <c r="K93" s="21" t="str">
        <f>IF(K81&gt;0,K82/K81,0)</f>
      </c>
      <c r="L93" s="21" t="str">
        <f>IF(L81&gt;0,L82/L81,0)</f>
      </c>
      <c r="M93" s="21" t="str">
        <f>IF(M81&gt;0,M82/M81,0)</f>
      </c>
      <c r="N93" s="21" t="str">
        <f>IF(N81&gt;0,N82/N81,0)</f>
      </c>
      <c r="O93" s="21" t="str">
        <f>IF(O81&gt;0,O82/O81,0)</f>
      </c>
    </row>
    <row r="94" ht="15.75" customHeight="true">
      <c r="A94" s="22" t="s">
        <v>74</v>
      </c>
      <c r="B94" s="22"/>
      <c r="C94" s="22"/>
      <c r="D94" s="21" t="str">
        <f>IF(D81&gt;0,D83/D81,0)</f>
      </c>
      <c r="E94" s="21" t="str">
        <f>IF(E81&gt;0,E83/E81,0)</f>
      </c>
      <c r="F94" s="21" t="str">
        <f>IF(F81&gt;0,F83/F81,0)</f>
      </c>
      <c r="G94" s="21" t="str">
        <f>IF(G81&gt;0,G83/G81,0)</f>
      </c>
      <c r="H94" s="21" t="str">
        <f>IF(H81&gt;0,H83/H81,0)</f>
      </c>
      <c r="I94" s="21" t="str">
        <f>IF(I81&gt;0,I83/I81,0)</f>
      </c>
      <c r="J94" s="21" t="str">
        <f>IF(J81&gt;0,J83/J81,0)</f>
      </c>
      <c r="K94" s="21" t="str">
        <f>IF(K81&gt;0,K83/K81,0)</f>
      </c>
      <c r="L94" s="21" t="str">
        <f>IF(L81&gt;0,L83/L81,0)</f>
      </c>
      <c r="M94" s="21" t="str">
        <f>IF(M81&gt;0,M83/M81,0)</f>
      </c>
      <c r="N94" s="21" t="str">
        <f>IF(N81&gt;0,N83/N81,0)</f>
      </c>
      <c r="O94" s="21" t="str">
        <f>IF(O81&gt;0,O83/O81,0)</f>
      </c>
    </row>
    <row r="95" ht="15.75" customHeight="true">
      <c r="A95" s="22" t="s">
        <v>78</v>
      </c>
      <c r="B95" s="22"/>
      <c r="C95" s="22"/>
      <c r="D95" s="21" t="str">
        <f>IF(D81&gt;0,D84/D81,0)</f>
      </c>
      <c r="E95" s="21" t="str">
        <f>IF(E81&gt;0,E84/E81,0)</f>
      </c>
      <c r="F95" s="21" t="str">
        <f>IF(F81&gt;0,F84/F81,0)</f>
      </c>
      <c r="G95" s="21" t="str">
        <f>IF(G81&gt;0,G84/G81,0)</f>
      </c>
      <c r="H95" s="21" t="str">
        <f>IF(H81&gt;0,H84/H81,0)</f>
      </c>
      <c r="I95" s="21" t="str">
        <f>IF(I81&gt;0,I84/I81,0)</f>
      </c>
      <c r="J95" s="21" t="str">
        <f>IF(J81&gt;0,J84/J81,0)</f>
      </c>
      <c r="K95" s="21" t="str">
        <f>IF(K81&gt;0,K84/K81,0)</f>
      </c>
      <c r="L95" s="21" t="str">
        <f>IF(L81&gt;0,L84/L81,0)</f>
      </c>
      <c r="M95" s="21" t="str">
        <f>IF(M81&gt;0,M84/M81,0)</f>
      </c>
      <c r="N95" s="21" t="str">
        <f>IF(N81&gt;0,N84/N81,0)</f>
      </c>
      <c r="O95" s="21" t="str">
        <f>IF(O81&gt;0,O84/O81,0)</f>
      </c>
    </row>
    <row r="96" ht="15.75" customHeight="true">
      <c r="A96" s="22" t="s">
        <v>81</v>
      </c>
      <c r="B96" s="22"/>
      <c r="C96" s="22"/>
      <c r="D96" s="21" t="str">
        <f>IF(D81&gt;0,D85/D81,0)</f>
      </c>
      <c r="E96" s="21" t="str">
        <f>IF(E81&gt;0,E85/E81,0)</f>
      </c>
      <c r="F96" s="21" t="str">
        <f>IF(F81&gt;0,F85/F81,0)</f>
      </c>
      <c r="G96" s="21" t="str">
        <f>IF(G81&gt;0,G85/G81,0)</f>
      </c>
      <c r="H96" s="21" t="str">
        <f>IF(H81&gt;0,H85/H81,0)</f>
      </c>
      <c r="I96" s="21" t="str">
        <f>IF(I81&gt;0,I85/I81,0)</f>
      </c>
      <c r="J96" s="21" t="str">
        <f>IF(J81&gt;0,J85/J81,0)</f>
      </c>
      <c r="K96" s="21" t="str">
        <f>IF(K81&gt;0,K85/K81,0)</f>
      </c>
      <c r="L96" s="21" t="str">
        <f>IF(L81&gt;0,L85/L81,0)</f>
      </c>
      <c r="M96" s="21" t="str">
        <f>IF(M81&gt;0,M85/M81,0)</f>
      </c>
      <c r="N96" s="21" t="str">
        <f>IF(N81&gt;0,N85/N81,0)</f>
      </c>
      <c r="O96" s="21" t="str">
        <f>IF(O81&gt;0,O85/O81,0)</f>
      </c>
    </row>
    <row r="97" ht="15.75" customHeight="true">
      <c r="A97" s="25" t="s">
        <v>90</v>
      </c>
      <c r="B97" s="25"/>
      <c r="C97" s="25"/>
      <c r="D97" s="26" t="str">
        <f>D81-D86</f>
      </c>
      <c r="E97" s="26" t="str">
        <f>E81-E86</f>
      </c>
      <c r="F97" s="26" t="str">
        <f>F81-F86</f>
      </c>
      <c r="G97" s="26" t="str">
        <f>G81-G86</f>
      </c>
      <c r="H97" s="26" t="str">
        <f>H81-H86</f>
      </c>
      <c r="I97" s="26" t="str">
        <f>I81-I86</f>
      </c>
      <c r="J97" s="26" t="str">
        <f>J81-J86</f>
      </c>
      <c r="K97" s="26" t="str">
        <f>K81-K86</f>
      </c>
      <c r="L97" s="26" t="str">
        <f>L81-L86</f>
      </c>
      <c r="M97" s="26" t="str">
        <f>M81-M86</f>
      </c>
      <c r="N97" s="26" t="str">
        <f>N81-N86</f>
      </c>
      <c r="O97" s="26" t="str">
        <f>O81-O86</f>
      </c>
    </row>
    <row r="98" ht="15.75" customHeight="true"/>
  </sheetData>
  <mergeCells count="14">
    <mergeCell ref="A3:C3"/>
    <mergeCell ref="A6:A14"/>
    <mergeCell ref="B18:B19"/>
    <mergeCell ref="B23:B24"/>
    <mergeCell ref="A18:A30"/>
    <mergeCell ref="B32:B33"/>
    <mergeCell ref="B37:B38"/>
    <mergeCell ref="A32:A48"/>
    <mergeCell ref="B50:B51"/>
    <mergeCell ref="B55:B56"/>
    <mergeCell ref="A50:A62"/>
    <mergeCell ref="B64:B65"/>
    <mergeCell ref="B69:B70"/>
    <mergeCell ref="A64:A7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